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MENTOS DE TRABAJO\INVENTARIOS VARIOS\"/>
    </mc:Choice>
  </mc:AlternateContent>
  <xr:revisionPtr revIDLastSave="0" documentId="13_ncr:1_{D479F068-9D14-4154-BD40-A75EDF9C1D0C}" xr6:coauthVersionLast="47" xr6:coauthVersionMax="47" xr10:uidLastSave="{00000000-0000-0000-0000-000000000000}"/>
  <bookViews>
    <workbookView xWindow="-120" yWindow="-120" windowWidth="29040" windowHeight="15840" xr2:uid="{07112366-EE5B-427F-B522-4372A56085A7}"/>
  </bookViews>
  <sheets>
    <sheet name="INVENTARIO AL 18072025" sheetId="3" r:id="rId1"/>
  </sheets>
  <definedNames>
    <definedName name="_xlnm._FilterDatabase" localSheetId="0" hidden="1">'INVENTARIO AL 18072025'!$B$8:$I$392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6" i="3" l="1"/>
  <c r="G222" i="3"/>
  <c r="G48" i="3"/>
  <c r="G394" i="3"/>
  <c r="G140" i="3"/>
  <c r="G139" i="3"/>
  <c r="G138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G163" i="3"/>
  <c r="G256" i="3"/>
  <c r="G192" i="3"/>
  <c r="G191" i="3"/>
  <c r="G319" i="3"/>
  <c r="G231" i="3"/>
  <c r="G230" i="3"/>
  <c r="G106" i="3"/>
  <c r="G70" i="3"/>
  <c r="G124" i="3"/>
  <c r="G253" i="3"/>
  <c r="G249" i="3"/>
  <c r="G225" i="3"/>
  <c r="G200" i="3"/>
  <c r="G188" i="3"/>
  <c r="G178" i="3"/>
  <c r="G177" i="3"/>
  <c r="G176" i="3"/>
  <c r="G142" i="3"/>
  <c r="G246" i="3"/>
  <c r="G245" i="3"/>
  <c r="H394" i="3" l="1"/>
  <c r="F394" i="3" l="1"/>
</calcChain>
</file>

<file path=xl/sharedStrings.xml><?xml version="1.0" encoding="utf-8"?>
<sst xmlns="http://schemas.openxmlformats.org/spreadsheetml/2006/main" count="1163" uniqueCount="440">
  <si>
    <t>ITEM</t>
  </si>
  <si>
    <t>OBSERVACIONES</t>
  </si>
  <si>
    <t>ALFOMBRA DE FOAMI</t>
  </si>
  <si>
    <t>ARCHIVADOR LAZZIO 4 GAVETAS 132*47*47</t>
  </si>
  <si>
    <t>BABEROS PARA BEBE</t>
  </si>
  <si>
    <t>BALANZAS 98X65X21 CTMS</t>
  </si>
  <si>
    <t>BALON DE FUTBOL</t>
  </si>
  <si>
    <t>BANDEJAS PANADERAS EN ACERO</t>
  </si>
  <si>
    <t>BANQ TABURETE TOLIX NEGRO 66CM KL-C025A6-1</t>
  </si>
  <si>
    <t>BAÑERAS PARA BB</t>
  </si>
  <si>
    <t>BIBLIOTECA DE MADERA 4 PUERTAS LAZZIO MEDIDAS  80X40X180</t>
  </si>
  <si>
    <t>BIBLIOTECA LAZZIO 02 PUERTAS ABAJO / 3 PELDAÑOS SIN PUERTA</t>
  </si>
  <si>
    <t>BIBLIOTECA MODELO 6DSF01 2 PTAS 2 PELDAÑOS</t>
  </si>
  <si>
    <t>BIBLIOTECA MOXIOFC MEDIDAS 88,5X43,5X6 CON DOS PUERTAS ABAJO / 03  PELDAÑOS SIN PUERTAS</t>
  </si>
  <si>
    <t>BLOCK DE DIBUJO</t>
  </si>
  <si>
    <t>BOLIGRAFO AZUL (CAJA*12)</t>
  </si>
  <si>
    <t>BOLIGRAFO NEGRO (CAJA*12)</t>
  </si>
  <si>
    <t>BORRA NATA BLANCA (UND)</t>
  </si>
  <si>
    <t>BORRADOR DE PIZARRA (UND)</t>
  </si>
  <si>
    <t>BOTELLONES DE AGUA POTABLE</t>
  </si>
  <si>
    <t>CAMILLAS  DIVAN</t>
  </si>
  <si>
    <t>CARPETA DE FIBRA MARRON TAMAÑO CARTA (PAQ*25 UND)</t>
  </si>
  <si>
    <t>CARPETA DE FIBRA MARRON TAMAÑO OFICIO (PAQ*25 UND)</t>
  </si>
  <si>
    <t>CARPETA MANILA TAMAÑO CARTA PAQ*100UNDS</t>
  </si>
  <si>
    <t>CARPETA MANILA TAMAÑO OFICIO PAQ*100UNDS</t>
  </si>
  <si>
    <t>CARRO DE LIMPIEZA MULTIFUNCIONAL</t>
  </si>
  <si>
    <t>CARRO LAVAMOPA 20LTS</t>
  </si>
  <si>
    <t>CARRO LAVAMOPA 33LTS</t>
  </si>
  <si>
    <t>CARRUCHA REFRESQUERA CON ASAS RUEDA NEUMATICA</t>
  </si>
  <si>
    <t>CARTELERA DE CORCHO MARCO ALUMINIO 100*200</t>
  </si>
  <si>
    <t>CARTELERA DE CORCHO MARCO ALUMINIO 120*240</t>
  </si>
  <si>
    <t>CARTELERA DE CORCHO MARCO ALUMINIO 80*120</t>
  </si>
  <si>
    <t>CEPILLO CARRETERO C/CABO</t>
  </si>
  <si>
    <t>CEPILLO DE BARRER ARAUCA CERDAS SUAVES C/PALO</t>
  </si>
  <si>
    <t>CEPILLO ESCOBILLON C/EXTENCION Y CABO</t>
  </si>
  <si>
    <t>CHARRASCA</t>
  </si>
  <si>
    <t>CHICURA (BARRETON) FORJADA 3.5</t>
  </si>
  <si>
    <t>CHUPON W.C INDESSA</t>
  </si>
  <si>
    <t>CLIP MARIPOSA GRANDE</t>
  </si>
  <si>
    <t>CLIP MARIPOSA PEQUEÑO</t>
  </si>
  <si>
    <t>CLIPS JUMBO FIXO PEQ (CAJA*50)</t>
  </si>
  <si>
    <t>CLIPS N°1 (CAJA*100)</t>
  </si>
  <si>
    <t>COBIJA</t>
  </si>
  <si>
    <t>COLCHONETA COLEGIAL GRUESA</t>
  </si>
  <si>
    <t>COLCHONETA CORRAL GRUESA GIMNASIO</t>
  </si>
  <si>
    <t xml:space="preserve">COLETO </t>
  </si>
  <si>
    <t>COMPUTADOR DE ESCRITORIO I5 MARCA CLONE CON ACCESORIOS (CPU, MONITOR, MOUSE Y TECLADO)</t>
  </si>
  <si>
    <t>COMPUTADORA COMPLETA MONITOR HIKVISION 21.5" CPU CLONE 15 6TA GENERACION 8 GB , MOUSE, TECLADO</t>
  </si>
  <si>
    <t>CONOS MEDIANOS 12</t>
  </si>
  <si>
    <t>CORRAL PARA BEBE CON COLCHONETAS</t>
  </si>
  <si>
    <t>CORRECTOR LIQUIDO DE BROCHA (UND)</t>
  </si>
  <si>
    <t>CREYONES DE CERA 6 COLORES</t>
  </si>
  <si>
    <t>CREYONES DE MADERA 12 COLORES</t>
  </si>
  <si>
    <t>CREYONES DE MADERA 24 COLORES</t>
  </si>
  <si>
    <t>CRONOMETRO DIGITALES PARA ENTRENAMIENTOS</t>
  </si>
  <si>
    <t>CUERDA DE SALTAR</t>
  </si>
  <si>
    <t xml:space="preserve">DEFIBRILLADOR </t>
  </si>
  <si>
    <t>ENGRAPADORA METAL</t>
  </si>
  <si>
    <t>ESCALERA DE ALUMINIO TIPO TIJERA 7 PELDAÑOS</t>
  </si>
  <si>
    <t>ESCARDILLA FORJADA CON CABO N°2.5 (25LBS)</t>
  </si>
  <si>
    <t>ESCRITORIO  (COMPUTADORA)  MULTIFUNCIONAL CON (1) UNA GAVETA LAZZIO  100X50X75 COMPUTADORAS</t>
  </si>
  <si>
    <t>ESCRITORIO EJECUTIVO MODULAR L LAZZIO 150*120*75CM</t>
  </si>
  <si>
    <t>ESCRITORIO SECRETARIAL LAZZIO (2) GAVETAS  120*60*75</t>
  </si>
  <si>
    <t>ESCUDILLA</t>
  </si>
  <si>
    <t>ESPONJA DE BRILLO ACERO</t>
  </si>
  <si>
    <t>ESPONJA DOBLE USO UNIDADES</t>
  </si>
  <si>
    <t>ESTANTES DE 2*0.93*0.40 5 NIVELES NEGRO DESARMADOS</t>
  </si>
  <si>
    <t>ESTANTES DOBLE CARA PRESCOLAR</t>
  </si>
  <si>
    <t>ESTANTES METALICOS 4 PUERTAS</t>
  </si>
  <si>
    <t>GANCHO PARA CARPETA (CAJA*50)</t>
  </si>
  <si>
    <t xml:space="preserve">GRAPAS </t>
  </si>
  <si>
    <t>GUANTES BICOLOR DE GOMA PARA ASEO</t>
  </si>
  <si>
    <t>GUANTES DE COCINA</t>
  </si>
  <si>
    <t>GUILLOTINA</t>
  </si>
  <si>
    <t>GUITARRAS YAMAHA</t>
  </si>
  <si>
    <t>GYM DE BB</t>
  </si>
  <si>
    <t>HARAGAN TRADICIONAL  CON PALO</t>
  </si>
  <si>
    <t>IMPRESORA   HP LASER JET PRO</t>
  </si>
  <si>
    <t>IMPRESORA  MULTIFUNCIONAL HP TANG 580W</t>
  </si>
  <si>
    <t xml:space="preserve">JUEGO DE MUEBLES RECIBO (02) juegos </t>
  </si>
  <si>
    <t>JUEGO LAVADORA PARA PRESSCOLAR PERTENECIENTE AL COMBO DE 3 PIEZAS QUEDARON SOLAS 6 UNI</t>
  </si>
  <si>
    <t>JUEGO PARA PREESCOLAR  COMBO ( 3 PIEZAS  COCINA - LAVADORA - NEVERA)</t>
  </si>
  <si>
    <t>KIT DE BANDA SHOW</t>
  </si>
  <si>
    <t>KIT DE LABORATORIO BIOLOGIA</t>
  </si>
  <si>
    <t>KIT DE LABORATORIO QUIMICA</t>
  </si>
  <si>
    <t>KIT DE PRIMEROS AUXILIOS</t>
  </si>
  <si>
    <t>KIT LABORATORIO FISICA</t>
  </si>
  <si>
    <t>LAPIZ DE GRAFITO (CAJA*12)</t>
  </si>
  <si>
    <t>LIBRETA EMPASTADA</t>
  </si>
  <si>
    <t>LIBROS DE ACTAS DE 500 FOLIOS</t>
  </si>
  <si>
    <t>LOCKER METALICO 4 PUERTAS</t>
  </si>
  <si>
    <t>MACHETE ROZADOR 22"</t>
  </si>
  <si>
    <t>MALLA DE FUTBOL</t>
  </si>
  <si>
    <t>MALLA DE VOLEIBOL</t>
  </si>
  <si>
    <t>MANDOLINA</t>
  </si>
  <si>
    <t>MANGUERA 100MTRS</t>
  </si>
  <si>
    <t>MAQUINA DE COSER INDUSTRIAL OVERLOCK 5 HILOS</t>
  </si>
  <si>
    <t>MAQUINA DE COSER PORTATIL TAGRUP OVERLOCK</t>
  </si>
  <si>
    <t>MAQUINAS DE COSER 032 FACIL SPEEDWAY</t>
  </si>
  <si>
    <t>MARACAS (PARES)</t>
  </si>
  <si>
    <t>MARCADOR PARA PIZARRA ROJO (UND)</t>
  </si>
  <si>
    <t>MARCADOR PERMANENTE AZUL P/GRUESA (UND)</t>
  </si>
  <si>
    <t>MARCADOR PERMANENTE NEGRO P/GRUESA (UND)</t>
  </si>
  <si>
    <t>MARCADOR PERMANENTE ROJO P/GRUESA (UND)</t>
  </si>
  <si>
    <t>MESA COMEDOR 10 PUESTOS CON 2 BANCAS. CON TOPE DE MADERA DE PINO Y ESTRUCTURA EN HIERRO</t>
  </si>
  <si>
    <t>MESA CUADRADA TOLIX PINE 80*80*75CM KI-100</t>
  </si>
  <si>
    <t xml:space="preserve">MESA DE COMEDOR </t>
  </si>
  <si>
    <t xml:space="preserve">MESA MULTIFUNCIONAL AURA SIN GAVETAS MEDIDAS 120X60X75( PROFESORES) </t>
  </si>
  <si>
    <t>MESAS  SILLAS</t>
  </si>
  <si>
    <t>MESAS DE CONFERENCIA PH-510</t>
  </si>
  <si>
    <t>MESAS DE TRABAJO CON TOMA CORRIENTE</t>
  </si>
  <si>
    <t>MINAS DE ENTRENAMIENTO</t>
  </si>
  <si>
    <t>MINI MODULO RECEPCION LAZZIO 84*108*54</t>
  </si>
  <si>
    <t>MOPA N36 CON PORTA MOPA DE ALUMINIO</t>
  </si>
  <si>
    <t>PABELLON CONFECCIONADO EN POLIESTER RESISTENTE 1.5*0.90MTS</t>
  </si>
  <si>
    <t>PABELLON CONFECCIONADO EN POLIESTER RESISTENTE 3*2MTS</t>
  </si>
  <si>
    <t>PABELLON DE VENEZUELA EN SATEN DE LUJO CON ESCUDO CON FLECOS DORADOS 2.00*1.00</t>
  </si>
  <si>
    <t>PALA CUADRADA MANGO DE PLASTICO</t>
  </si>
  <si>
    <t>PANTALLA ELECTRICA  VIDEO BEAN  LEADZM</t>
  </si>
  <si>
    <t>PANTALLA MANUAL VIDEO BEAN  ZENY SKU-H01-3366</t>
  </si>
  <si>
    <t>PAPEL CONTACT 160M</t>
  </si>
  <si>
    <t>PAPELERA BRISA 8LTS ALFA HOGAR</t>
  </si>
  <si>
    <t>PAPELERA ELEG. MANAPLAS 8.5LT</t>
  </si>
  <si>
    <t>PAPELERA METALICA GRANDE</t>
  </si>
  <si>
    <t>PAPELERA PEDAL BIN 16LT ALFA HOGAR</t>
  </si>
  <si>
    <t>PAQUETE DE CUCHARILLAS PARA PINIC (PAQUIETES DE 50 UNIDADES)</t>
  </si>
  <si>
    <t>PAQUETE DE CUCHILLO PARA BANQUETES (50 U/PAQ )</t>
  </si>
  <si>
    <t>PAQUETE DE TENEDOR PARA POSTRE( 50 U/PAQ)</t>
  </si>
  <si>
    <t>PARAL PARA SUERO-ESMALTADO CON RUEDAS DIELECTRICA / DOS GANCHOS NEN ECERO</t>
  </si>
  <si>
    <t>PARQUE INFANTIL</t>
  </si>
  <si>
    <t>PEGA LIQUIDA PEQUEÑA (UND)</t>
  </si>
  <si>
    <t>PERFORADORA 2 HUECOS PEQUEÑO</t>
  </si>
  <si>
    <t>PESO DE COCINA PARA MOSTRADOR</t>
  </si>
  <si>
    <t>PICOS DE 5LBS CON CABO</t>
  </si>
  <si>
    <t>PINTADEDOS COLORES VARIOS</t>
  </si>
  <si>
    <t>PIPOTES PLASTICO DE 150LTS</t>
  </si>
  <si>
    <t>PIZARRA BLANCA MARCO ALUMINIO 120*240</t>
  </si>
  <si>
    <t>PIZARRA BLANCA MARCO ALUMINIO 80*120</t>
  </si>
  <si>
    <t>PLASTILINA ESCOLAR</t>
  </si>
  <si>
    <t>PLIEGO DE PAPEL BOND (UDS)</t>
  </si>
  <si>
    <t>PORTA CUENTO</t>
  </si>
  <si>
    <t>PROTECTOR DE VOLTAJE</t>
  </si>
  <si>
    <t>PROTECTORES UP N1200 VA 8 TOMAS</t>
  </si>
  <si>
    <t>PULIDORAS</t>
  </si>
  <si>
    <t>RASTRILLO JARDIN METALICO 14 DIENTES MANGO</t>
  </si>
  <si>
    <t>RESALTADORES COLORES SURTIDOS</t>
  </si>
  <si>
    <t>RESMA DE PAPEL TAMAÑO CARTA (UND)</t>
  </si>
  <si>
    <t>RESMA DE PAPEL TAMAÑO OFICIO (UNID)</t>
  </si>
  <si>
    <t>ROTAFOLIO</t>
  </si>
  <si>
    <t>SABANA</t>
  </si>
  <si>
    <t>SACAGRAPAS (UND)</t>
  </si>
  <si>
    <t>SACAPUNTAS (UDS)</t>
  </si>
  <si>
    <t>SET ALIMENTACION PARA BEBES</t>
  </si>
  <si>
    <t>SET DE CUCHARILLAS</t>
  </si>
  <si>
    <t>SET DE PELOTAS DE TENIS TRIPACK</t>
  </si>
  <si>
    <t>SILBATOS</t>
  </si>
  <si>
    <t>SILICON LIQUIDO</t>
  </si>
  <si>
    <t>SILLA DE VISITANTE TIPO ROMA DHS-128</t>
  </si>
  <si>
    <t>SILLA EJECUTIVA CHICAGO 1 KL-C616</t>
  </si>
  <si>
    <t>SILLA EJECUTIVA CHICAGO 2 KSAT</t>
  </si>
  <si>
    <t>SILLA PARA TOMA DE MUESTRA</t>
  </si>
  <si>
    <t>SILLA PRESIDENCIAL STANFORD ANGELES KI-C623</t>
  </si>
  <si>
    <t>SILLA VICTORIA</t>
  </si>
  <si>
    <t>SILLAS PRESIDENCIALES MODELO 6136 NEGRO</t>
  </si>
  <si>
    <t>TANDEM TORINO 3 PUESTOS SILVER PLATA</t>
  </si>
  <si>
    <t>TELEVISOR SMART TV 55 MARCA LOGAN</t>
  </si>
  <si>
    <t>TERMO POPOTAMO 44LTS</t>
  </si>
  <si>
    <t xml:space="preserve">TIJERA ESCOLAR </t>
  </si>
  <si>
    <t>TIJERA JARDIN PODADORA 12" HERRAGO</t>
  </si>
  <si>
    <t>TIRRO DE PAPEL CINTA ADHESIVA BLANCA 12/30</t>
  </si>
  <si>
    <t>TIRRO PARA EMBALAR  TRANSPARENTE</t>
  </si>
  <si>
    <t>TIZA DE COLORES</t>
  </si>
  <si>
    <t>TOBOS INDESSA 10 LTRS CON ASAS METALICA</t>
  </si>
  <si>
    <t>TRIANGULO</t>
  </si>
  <si>
    <t>UPS INTERACTIVO 1000VA DE CAPACIDAD POWER PLUS L-PW 1000-PLUS LOGAN</t>
  </si>
  <si>
    <t>UPS INTERACTIVO 1000VA MARCA HIKVISION DS-UPS-1000-X</t>
  </si>
  <si>
    <t>VASOS MEDIANOS CON TAPA</t>
  </si>
  <si>
    <t xml:space="preserve">VITRINA EXHIBIDORA 4 PUERTAS </t>
  </si>
  <si>
    <t xml:space="preserve">SOBRES MANILLA CARTA </t>
  </si>
  <si>
    <t>SOBRES MANILLA OFICIO</t>
  </si>
  <si>
    <t>BOMBONAS DE OXIGENO GRANDES</t>
  </si>
  <si>
    <t xml:space="preserve">CARTULINA TAMAÑO CARTA COLORES SURTIDOS 20 UNIDADES </t>
  </si>
  <si>
    <t>LOCKER METALICO 2 PUERTAS</t>
  </si>
  <si>
    <t>MESA REDONDA</t>
  </si>
  <si>
    <t>UNIFORMES DE BALONCESTO</t>
  </si>
  <si>
    <t xml:space="preserve">LAPTOP CORA I5 8GB RAM </t>
  </si>
  <si>
    <t>RASTRILLO PLASTICO</t>
  </si>
  <si>
    <t>ARTURITO LAZZIO GRIS 65*48*50CM</t>
  </si>
  <si>
    <t>BOLSA TOBITA 30LTS*100 UNID BLANCA</t>
  </si>
  <si>
    <t>CEPILLO PARA POCETA</t>
  </si>
  <si>
    <t>CONTENEDOR 155 LITROS C/RUEDAS</t>
  </si>
  <si>
    <t>CORNETAS AMPLIFICADA PUERTO USB, MP3 SD CAJA DE ALTAVOZ</t>
  </si>
  <si>
    <t>ESCRITORIO SECRETARIAL MODELOPH-102 MEDIDAS 124*64*10</t>
  </si>
  <si>
    <t>ESTETOSCOPIO SIMPLE DYNAREX 7110</t>
  </si>
  <si>
    <t>JUEGOS DE PINCELES DE 12PCS</t>
  </si>
  <si>
    <t>DETERGENTE   LIQUIDO 1L</t>
  </si>
  <si>
    <t>LIBROS DE CONTABILIDAD 2 COLUMNAS 100 FOLIOS /2 COLUMNAS 200 FOLIOS / 3 COLUMNAS 100 FOLIOS  4 C/U</t>
  </si>
  <si>
    <t>PAÑO MULTICOLORES MICROFIBRA PIA</t>
  </si>
  <si>
    <t>PAÑOS DE MICROFIBRA EL TITAN MULTIUSO  ( 8 PAQUETES DE 4 UNIDADES)</t>
  </si>
  <si>
    <t>PEGA EN BARRA</t>
  </si>
  <si>
    <t>PINTURA AL FRIO COLORES VARIOS</t>
  </si>
  <si>
    <t>BASE PARA TV</t>
  </si>
  <si>
    <t>UNIFORMES DE VOLEIBOL</t>
  </si>
  <si>
    <t>MALLA FUTBOL SALA</t>
  </si>
  <si>
    <t>PIZARRA ACRILICA MARCO DE ALUMINIO 70*100</t>
  </si>
  <si>
    <t xml:space="preserve">PRODUCTOS </t>
  </si>
  <si>
    <t xml:space="preserve">TOTAL ARTICULOS </t>
  </si>
  <si>
    <t>BALANZA CON TALLIMETRO</t>
  </si>
  <si>
    <t xml:space="preserve">OJO </t>
  </si>
  <si>
    <t xml:space="preserve"> </t>
  </si>
  <si>
    <t xml:space="preserve">VIDEO BEAN </t>
  </si>
  <si>
    <t>INVENTARIO ALMACEN TIUNA</t>
  </si>
  <si>
    <t>CANTIDADES DISPONIBLES</t>
  </si>
  <si>
    <t>AL 18/05/2025</t>
  </si>
  <si>
    <t>ABRELATAS 16CM ACERO INOXIDABLE</t>
  </si>
  <si>
    <t>BALANZA MEDICA SECA 220KG*100G</t>
  </si>
  <si>
    <t xml:space="preserve">BALON DE BASKET </t>
  </si>
  <si>
    <t>BALON DE FUTBOL SALA</t>
  </si>
  <si>
    <t xml:space="preserve">BALON DE VOLEIBOL </t>
  </si>
  <si>
    <t>BOWL ENSALADERA</t>
  </si>
  <si>
    <t>CELOVEN PEQUEÑO TRANSPARENTE</t>
  </si>
  <si>
    <t>COLADOR DE PASTA GRANDE</t>
  </si>
  <si>
    <t>CONOS PEQUEÑO 9</t>
  </si>
  <si>
    <t>CUCHARA DE MADERA</t>
  </si>
  <si>
    <t xml:space="preserve">ESPATULAS GRANDES </t>
  </si>
  <si>
    <t>ESPUMADERA GRANDE</t>
  </si>
  <si>
    <t>HACHA CARNICERA</t>
  </si>
  <si>
    <t>JARRA PLASTICA CON TAPA 45L</t>
  </si>
  <si>
    <t>JUEGO DE CUBIERTOS 3PZAS (TENEDOR, CUCHARA Y CUCHILLO) EN ACERO INOX</t>
  </si>
  <si>
    <t>JUEGO DE EMBUDOS DE TRES TAMAÑOS</t>
  </si>
  <si>
    <t>JUEGO DE TORTERA DE 5 PZAS</t>
  </si>
  <si>
    <t>JUEGOS  DIDACTICOS</t>
  </si>
  <si>
    <t>KIT DE MENAJE PARA COMEDORES ESCOLARES</t>
  </si>
  <si>
    <t>MALLA DE BASQUET REGENT TRICOLOR</t>
  </si>
  <si>
    <t>MARCADOR DE PIZARRA PUNTA CINCEL AZUL OFIMAX</t>
  </si>
  <si>
    <t>MARCADOR DE PIZARRA PUNTA CINCEL NEGRO</t>
  </si>
  <si>
    <t>MESAS DE COLORES MATERNAL  6 PUESTOS CON SUS SILLAS</t>
  </si>
  <si>
    <t>MORTERO</t>
  </si>
  <si>
    <t>PALA PLASTICA C/CABO PLASTICO INDESSA</t>
  </si>
  <si>
    <t>PAPELERAS PLASTICAS 10 LTRS</t>
  </si>
  <si>
    <t>PIEZA ARMABLE DE GOMA PEQUEÑO</t>
  </si>
  <si>
    <t>PINZAS DE ACERO INOXIDABLE</t>
  </si>
  <si>
    <t>SET DE CUCHILLOS 6PZAS GRIS CON BASE</t>
  </si>
  <si>
    <t>SILLAS DE  COLORES PREESCOLAR</t>
  </si>
  <si>
    <t>TABLA ACRILICA 60X40</t>
  </si>
  <si>
    <t>TENSIOMETRO DE PEDESTAL</t>
  </si>
  <si>
    <t xml:space="preserve">TERMOMETRO DIGITAL </t>
  </si>
  <si>
    <t xml:space="preserve">FREIDORA A GAS DOS CESTAS </t>
  </si>
  <si>
    <t>CAMAS CLINICAS</t>
  </si>
  <si>
    <t xml:space="preserve">VASOS </t>
  </si>
  <si>
    <t>VASOS GRANDES CON TAPA</t>
  </si>
  <si>
    <t>VIDEO BEAN PHILLIPS NEOPIX PRIME</t>
  </si>
  <si>
    <t xml:space="preserve">INFANTOMETRO </t>
  </si>
  <si>
    <t>MASCARILLA DE OXIGENO ADULTO</t>
  </si>
  <si>
    <t xml:space="preserve">MESA DE MAYO ESMALTADA CON BANDEJA DE ACERO </t>
  </si>
  <si>
    <t>ESCABEL DE UN PASO ESMALTADO</t>
  </si>
  <si>
    <t xml:space="preserve">ELECTROCARDIOGRAFO 3 CANALES </t>
  </si>
  <si>
    <t>CLOSET DOS PUERTAS</t>
  </si>
  <si>
    <t>SABANA DE CAMILLA AZUL X 130</t>
  </si>
  <si>
    <t>PANDERETA</t>
  </si>
  <si>
    <t>CARTULINA ESCOLAR GRANDE FLUORESCENTE</t>
  </si>
  <si>
    <t>RALLADOR DE QUESO 4 CARAS</t>
  </si>
  <si>
    <t>SET DE CUBIERTOS 16  PZAS</t>
  </si>
  <si>
    <t xml:space="preserve">CLORO 1 LITRO </t>
  </si>
  <si>
    <t>UNIFORMES DE FUTBOL / SALON</t>
  </si>
  <si>
    <t>UNIFORMES DE FUTBOL DE SALON</t>
  </si>
  <si>
    <t>DESINFECTANTE 1 LITRO</t>
  </si>
  <si>
    <t>AIRES ACONDICIONADOS 12,000 BTU BOTTOM MOUNT</t>
  </si>
  <si>
    <t xml:space="preserve">LICUADORA CON PICA TODO BOTTOM MOUNT </t>
  </si>
  <si>
    <t>DISPENSADOR DE AGUA CON ENFRIADOR Y AGUA CALIENTE</t>
  </si>
  <si>
    <t>MESAS DE COLORES PREESCOLAR 6 PUESTOS CON SUS SILLAS</t>
  </si>
  <si>
    <t>TELEVISOR WPAN JIA CF-43LED 43</t>
  </si>
  <si>
    <t>MICROONDAS 20 LTS 0,7 PIES BOTTON MOUNT</t>
  </si>
  <si>
    <t>CAFETERA 12 T ROYAL RE12T</t>
  </si>
  <si>
    <t xml:space="preserve">CONGELADOR HORIZONTAL 198 LTS MARCA NEWOOL </t>
  </si>
  <si>
    <t>ENVASES RECTANGULAR</t>
  </si>
  <si>
    <t>LICUADORA INDUSTRIAL 10 LTS EN ACERO INOXIDABLE</t>
  </si>
  <si>
    <t>EXTRACTOR DE JUGO ROYAL 500 ML REJ2099</t>
  </si>
  <si>
    <t>AIRE ACONDICIONADO SPLIT 18.000 BTU MARCA BOTTON MOUNT 220V (SAC18BM) (E )</t>
  </si>
  <si>
    <t>OLLA DE PRESION ELECTRICA 6 L ROYAL</t>
  </si>
  <si>
    <t xml:space="preserve">BATIDORA PEDESTAL 6 VELOCIDADES ROYAL </t>
  </si>
  <si>
    <t xml:space="preserve">AMASADORA INDUSTRIAL 20LTS </t>
  </si>
  <si>
    <t xml:space="preserve">AIRE ACONDICIONADO SPLIT 24, BTU </t>
  </si>
  <si>
    <t xml:space="preserve">ATRIL DE MADERA </t>
  </si>
  <si>
    <t xml:space="preserve">ARQUERIAS PEQUEÑAS INFANTILES </t>
  </si>
  <si>
    <t>BALON DE BASKET PEQUEÑO</t>
  </si>
  <si>
    <t>BALON DE FUTBOL PEQUEÑO</t>
  </si>
  <si>
    <t xml:space="preserve">BATIDOR DE METAL </t>
  </si>
  <si>
    <t>BATIDORA 7 VELOCIDADES ROYAL RBT-504 (E)</t>
  </si>
  <si>
    <t>BEBEDEROS DE AGUA CON ENFRIADOR.</t>
  </si>
  <si>
    <t>CALDERO DE 44CM</t>
  </si>
  <si>
    <t>CALDERO DE 50 CM</t>
  </si>
  <si>
    <t xml:space="preserve">CAMA LITERA </t>
  </si>
  <si>
    <t>CAMA INDIVIDUAL</t>
  </si>
  <si>
    <t>CESTA PLASTICA - GUACAL CAP 40KG MED 60X40X32CM</t>
  </si>
  <si>
    <t>CESTA DE BASKET INFANTIL</t>
  </si>
  <si>
    <t>COLADORES DE PLASTICOS JUGOS</t>
  </si>
  <si>
    <t>COLCHON INDIVIDUAL</t>
  </si>
  <si>
    <t>CONGELADOR HORIZONTAL  450 LTS /425</t>
  </si>
  <si>
    <t xml:space="preserve">CORTADOR MANUAL DE PAPAS Y OTROS VEGETALES  TAMAÑO DEL CORTE 1X1 </t>
  </si>
  <si>
    <t>CUATRO (4/4) CON FORRO Y JUEGO DE CUERDAS</t>
  </si>
  <si>
    <t xml:space="preserve">CUCHARA DE SERVICIO </t>
  </si>
  <si>
    <t xml:space="preserve">CUCHARA DE SERVICIO CORTA </t>
  </si>
  <si>
    <t>CUCHARON DE SOPA GRANDE  12 ONZAS ACERO</t>
  </si>
  <si>
    <t xml:space="preserve">CUCHARON DE SOPA PEQUEÑO </t>
  </si>
  <si>
    <t xml:space="preserve">CUCHILLO CARNICERO </t>
  </si>
  <si>
    <t xml:space="preserve">CUCHILLO DE SIERRA PARA PAN </t>
  </si>
  <si>
    <t>SALA DE BAÑO</t>
  </si>
  <si>
    <t>ESPUMADERA PEQUEÑA</t>
  </si>
  <si>
    <t>EXPRIMIDOR DE NARANJAS MANUAL</t>
  </si>
  <si>
    <t>JARRA DE ACERO INOX</t>
  </si>
  <si>
    <t>JARRA DE ALUMINIO CON TAPA 2LTS</t>
  </si>
  <si>
    <t xml:space="preserve">JUEGO DE CALDEROS CON TAPA 3PZA </t>
  </si>
  <si>
    <t>JUEGO  DE SARTENES 32 CM, 40 CM Y 45 CMS</t>
  </si>
  <si>
    <t>JUEGO DE EMBUDOS 3 TAMAÑOS</t>
  </si>
  <si>
    <t>JUEGO DE COMEDOR MODULAR CON CAPACIDAD PARA CUATRO (4) PERSONAS, FABRICADO EN LÁMINAS DE HIERRO NEGRO DE 3 MM DE ESPESOR, CON TORNILLERÍA DE ACERO, PINTURA ELECTROSTÁTICA CON PROTECTOR UV, CORTADO EN LÁSER, CON LOGOS PERSONALIZADOS (MESAS DE TOPES BLANCOS CON PATAS GRISES Y SILLAS DE COLORES SURTIDOS CON PATAS GRISES).</t>
  </si>
  <si>
    <t>JUEGO DE COMEDOR MODULAR CON CAPACIDAD PARA OCHO (8) PERSONAS, FABRICADO EN LÁMINAS DE HIERRO NEGRO DE 3 MM DE ESPESOR, CON TORNILLERÍA DE ACERO, PINTURA ELECTROSTÁTICA CON PROTECTOR UV, CORTADO EN LÁSER, CON LOGOS PERSONALIZADOS (MESAS DE TOPES BLANCOS CON PATAS GRISES Y SILLAS DE COLORES SURTIDOS CON PATAS GRISES).</t>
  </si>
  <si>
    <t>JUEGO DE 3 OLLAS 40 LTS, 80 LTS, 100 LTS</t>
  </si>
  <si>
    <t>TAZA DE PLASTICO CON TAPA</t>
  </si>
  <si>
    <t>TAZAS PARA CAFÉ</t>
  </si>
  <si>
    <t xml:space="preserve">KIT DE GORRO Y DELANTAL </t>
  </si>
  <si>
    <t xml:space="preserve">LICUADORA 25LTS </t>
  </si>
  <si>
    <t>MALLA DE FUTBOL SALA</t>
  </si>
  <si>
    <t>MICROONDAS 42L BOTTOM MOUNT MODELO MW40BM</t>
  </si>
  <si>
    <t>NEVERA MARCA BOTTON MOUNT 12 PIES MODELO RTM350BM SIN ESCARCHA (E)</t>
  </si>
  <si>
    <t>NEVERA EJECUTIVA 3.5 PIES</t>
  </si>
  <si>
    <t>NEVERA  15 PIES CUBICOS DE 2 PUERTAS VERTICALES</t>
  </si>
  <si>
    <t>NEVERA  18 PIES MARCA CHANGER MOD BCD-536</t>
  </si>
  <si>
    <t xml:space="preserve">OLLA PRESION 15LTS ROYAL ROP30-15LTR </t>
  </si>
  <si>
    <t>OLLA DE 100LTS 80LTS 30LTS</t>
  </si>
  <si>
    <t>PERCHERO</t>
  </si>
  <si>
    <t>PELADORA DE PAPAS CAPACIDAD 10KG</t>
  </si>
  <si>
    <t xml:space="preserve">PESO DE COCINA DE 40KG </t>
  </si>
  <si>
    <t>REFRIGERADOR VERTICAL 11 PIES</t>
  </si>
  <si>
    <t>REGULADOR INDUSTRIAL</t>
  </si>
  <si>
    <t xml:space="preserve">RODILLO DE MADERA  DE 30CM GIRATORIO </t>
  </si>
  <si>
    <t xml:space="preserve">SARTEN GRANDE CON TAPA </t>
  </si>
  <si>
    <t>SET CUCHILLOS 5 PZAS CON CHIARA</t>
  </si>
  <si>
    <t>SILLA ODONTOLOGICA</t>
  </si>
  <si>
    <t>TAMBOR</t>
  </si>
  <si>
    <t xml:space="preserve">TENEDOR DE ACERO </t>
  </si>
  <si>
    <t xml:space="preserve">TIJERA DE COCINA </t>
  </si>
  <si>
    <t>TORTERA REDONDA MOLDE DE ALUMINIO</t>
  </si>
  <si>
    <t>UTENSILIOS DE COCINA VARIOS</t>
  </si>
  <si>
    <t>ULA  ULA</t>
  </si>
  <si>
    <t>VENTILADOR DE PARED</t>
  </si>
  <si>
    <t xml:space="preserve">VENTILADOR DE PEDESTAL </t>
  </si>
  <si>
    <t>TANQUE DE AGUA 1100 LTS</t>
  </si>
  <si>
    <t>CAJA DE PELOTAS PEQUENAS MARCA GLORIFY</t>
  </si>
  <si>
    <t>CAJA DE PELOTAS GRANDES MARCA RAWLINGS</t>
  </si>
  <si>
    <t>CAJA DE PELOTAS DE ENTRENAMIENTO KENKOS AMARILLAS</t>
  </si>
  <si>
    <t>CASCOS DE BEISBOL CON PROTECTOR RAWLINGS</t>
  </si>
  <si>
    <t xml:space="preserve">SET DE BASE MARCA SKYLINE </t>
  </si>
  <si>
    <t xml:space="preserve">BATES DE BEISBOL 30 </t>
  </si>
  <si>
    <t>BATES DE BEISBOL 31</t>
  </si>
  <si>
    <t>BATES DE BEISBOL 32</t>
  </si>
  <si>
    <t>SET DE CATCHER RAWLINGS</t>
  </si>
  <si>
    <t xml:space="preserve">GUANTES DE BEISBOL MENOR RAWLINGS </t>
  </si>
  <si>
    <t>CESTAS PARTA PELOTAS DE BEISBOL</t>
  </si>
  <si>
    <t>SCREANS DE BEISBOL</t>
  </si>
  <si>
    <t xml:space="preserve">AIRE PORTATIL </t>
  </si>
  <si>
    <t>RAYOS X 8KW CARRITO FLAT PANEL LAPTOP</t>
  </si>
  <si>
    <t>BALON BASKET SPA TF-250 SEMI CUERO #7 (35)</t>
  </si>
  <si>
    <t>BALON DE FUTBOL YSTON COSIDO #5 BL/AZ (11,45)</t>
  </si>
  <si>
    <t>BALON DE FUTBOL YSTON TERMOL  #5 BL/AZ/NJA (21,75)</t>
  </si>
  <si>
    <t>BALON DE FUTBOL YSTON TERMOL  #5 ALPHA (21,25)</t>
  </si>
  <si>
    <t>BALON DE FUTBOL YSTON COSIDO  #3 BL/AZ (10,85)</t>
  </si>
  <si>
    <t>BALON DE FUTBOL YSTON COSIDO  #3 NEON  (12,30)</t>
  </si>
  <si>
    <t>BALON FUTBOL SALA YSTON TERMOL.BL/AZ (25,95)</t>
  </si>
  <si>
    <t>BALON VOLEIBOL MIKASA MVZ10 OFFICIAL (40,95)</t>
  </si>
  <si>
    <t>BALON VOLEIBOL MIKASA COMPETITION V330W (43,95)</t>
  </si>
  <si>
    <t>INFLADOR DOBLE ACCION CON AGUJA</t>
  </si>
  <si>
    <t>AIRE ACONDICIONADO  TIPO COMPACTO 3 TON</t>
  </si>
  <si>
    <t>BOMBONA DE OXIGENO PEQUEÑAS</t>
  </si>
  <si>
    <t>CARRO DE CURA</t>
  </si>
  <si>
    <t>BALON BASKET MOLTEN N. 12 PANEL CUERO MR/B (49,25)</t>
  </si>
  <si>
    <t>BALON BASKET  REBOUND REGENT (10,40)</t>
  </si>
  <si>
    <t>BALON BASK ETLEGANCY REGENT (26,10)</t>
  </si>
  <si>
    <t xml:space="preserve">BALONERA NACIONAL REGENT NEGRA </t>
  </si>
  <si>
    <t>DOMINO REGENT ESTUCHE DE PLASTICO</t>
  </si>
  <si>
    <t>MALLA PARAL PING PONG  CLIP REGENT</t>
  </si>
  <si>
    <t>MESA PIN PONG REGENT RUEDAS Y MALLA</t>
  </si>
  <si>
    <t xml:space="preserve">RAQUETA PING PONG </t>
  </si>
  <si>
    <t>BOLAS CRIOLLAS  107 MM JUVENIL</t>
  </si>
  <si>
    <t xml:space="preserve">PELOTAS PING PONG  TUBO 6 UNIDADES </t>
  </si>
  <si>
    <t>BALON VOLEI  LAMI RVA200 REGENT (  18)</t>
  </si>
  <si>
    <t>BALON DE VOLEIBOL POINT REGENT (9,30)</t>
  </si>
  <si>
    <t>VITRINA AUTOCONTRT NEVERAMA 115 V</t>
  </si>
  <si>
    <t>PROTECTOR DE VOLTAJE  115 V</t>
  </si>
  <si>
    <t xml:space="preserve">COCINA06 HORNILLAS </t>
  </si>
  <si>
    <t>COLCHONES CLINICOS</t>
  </si>
  <si>
    <t>UNIDAD DE MEDIDA</t>
  </si>
  <si>
    <t>Unid.</t>
  </si>
  <si>
    <t>Cajas</t>
  </si>
  <si>
    <t>PAQ</t>
  </si>
  <si>
    <t>Mts</t>
  </si>
  <si>
    <t>CAJAS</t>
  </si>
  <si>
    <t>Set</t>
  </si>
  <si>
    <t xml:space="preserve">CLASIFICACION </t>
  </si>
  <si>
    <t>UTENSILIOS DE COCINA</t>
  </si>
  <si>
    <t xml:space="preserve">MATERIAL DE PREESCOLAR / MATERNAL </t>
  </si>
  <si>
    <t>MOBILIARIO</t>
  </si>
  <si>
    <t>EQUIPOS MEDICOS</t>
  </si>
  <si>
    <t>EQUIPO DE COCINA</t>
  </si>
  <si>
    <t>EQUIPOS DEPORTIVOS</t>
  </si>
  <si>
    <t>MATERIAL MATERNAL</t>
  </si>
  <si>
    <t>ARTICULOS ESCOLARES</t>
  </si>
  <si>
    <t>MATERIAL DE OFICINA</t>
  </si>
  <si>
    <t>ARTICULOS DE LIMPIEZA</t>
  </si>
  <si>
    <t>SERVICIOS GENERALES</t>
  </si>
  <si>
    <t>MOBILIARIO MEDICO</t>
  </si>
  <si>
    <t>MATERIAL DE LIMPIEZA</t>
  </si>
  <si>
    <t xml:space="preserve">MATERIAL ESCOLAR </t>
  </si>
  <si>
    <t>INSTRUMENTOS MUSICALES</t>
  </si>
  <si>
    <t>LENCERIA DE HOGAR</t>
  </si>
  <si>
    <t>EQUIPOS DE COMPUTACION Y TECNOLOGIA</t>
  </si>
  <si>
    <t>ELECTRODOMESTICOS</t>
  </si>
  <si>
    <t>ARTICULO DEPORTIVO</t>
  </si>
  <si>
    <t>MOBILIARIO FABRICACION</t>
  </si>
  <si>
    <t>ARTICULOS DE OFICINA</t>
  </si>
  <si>
    <t>MOBILIARIO RECREACION</t>
  </si>
  <si>
    <t>KIT LABORATORIO</t>
  </si>
  <si>
    <t>MATERIAL MEDICO</t>
  </si>
  <si>
    <t>MAQUINA DE COSER</t>
  </si>
  <si>
    <t>PABELLON NACIONAL</t>
  </si>
  <si>
    <t>RECREACION</t>
  </si>
  <si>
    <t>MANTENIMIENTO GENERAL</t>
  </si>
  <si>
    <t>MATERIAL DEPORTIVO</t>
  </si>
  <si>
    <t>EQUIPOS ESCOLARES</t>
  </si>
  <si>
    <t xml:space="preserve">MOBILIARIO FABRICACION </t>
  </si>
  <si>
    <t xml:space="preserve">MOBILIARIO </t>
  </si>
  <si>
    <t xml:space="preserve">EQUIPOS DE TECNOLOGIA </t>
  </si>
  <si>
    <t xml:space="preserve">EQUIPO ODONTOLOGICO </t>
  </si>
  <si>
    <t xml:space="preserve">RECREACION </t>
  </si>
  <si>
    <t>EQUIPO MEDICO</t>
  </si>
  <si>
    <t>ARTICULOS DEPORTIVOS</t>
  </si>
  <si>
    <t>UNID</t>
  </si>
  <si>
    <t>PRECIO UNITARIO</t>
  </si>
  <si>
    <t>BOLSAS DE BASURA 40 LTS  20</t>
  </si>
  <si>
    <t xml:space="preserve">MONTO TOTAL POR ARTICULO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</si>
</sst>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Helvetica"/>
    </font>
    <font>
      <sz val="12"/>
      <name val="Helvetica"/>
    </font>
    <font>
      <sz val="12"/>
      <color rgb="FFFF0000"/>
      <name val="Helvetica"/>
    </font>
    <font>
      <sz val="14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Helvetica"/>
    </font>
    <font>
      <b/>
      <i/>
      <sz val="22"/>
      <name val="Calibri"/>
      <family val="2"/>
    </font>
    <font>
      <b/>
      <i/>
      <sz val="22"/>
      <color theme="0"/>
      <name val="Calibri"/>
      <family val="2"/>
    </font>
    <font>
      <b/>
      <i/>
      <sz val="13"/>
      <name val="Calibri"/>
      <family val="2"/>
    </font>
    <font>
      <b/>
      <i/>
      <sz val="13"/>
      <color theme="0"/>
      <name val="Calibri"/>
      <family val="2"/>
    </font>
    <font>
      <sz val="14"/>
      <color theme="6" tint="-0.249977111117893"/>
      <name val="Helvetica"/>
    </font>
    <font>
      <sz val="14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2"/>
      <color theme="6" tint="-0.249977111117893"/>
      <name val="Helvetica"/>
    </font>
    <font>
      <sz val="14"/>
      <color theme="1" tint="0.499984740745262"/>
      <name val="Helvetica"/>
    </font>
    <font>
      <sz val="14"/>
      <color theme="1" tint="0.499984740745262"/>
      <name val="Calibri"/>
      <family val="2"/>
      <scheme val="minor"/>
    </font>
    <font>
      <sz val="12"/>
      <color theme="2" tint="-0.499984740745262"/>
      <name val="Helvetica"/>
    </font>
    <font>
      <sz val="12"/>
      <color theme="1" tint="0.34998626667073579"/>
      <name val="Helvetica"/>
    </font>
    <font>
      <sz val="14"/>
      <color theme="2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C9DAF8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center" wrapText="1"/>
    </xf>
    <xf numFmtId="0" fontId="18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vertical="center" wrapText="1"/>
    </xf>
    <xf numFmtId="0" fontId="16" fillId="0" borderId="6" xfId="0" applyFont="1" applyFill="1" applyBorder="1" applyAlignment="1">
      <alignment vertical="center"/>
    </xf>
    <xf numFmtId="0" fontId="18" fillId="0" borderId="6" xfId="0" applyFont="1" applyFill="1" applyBorder="1" applyAlignment="1">
      <alignment vertical="center"/>
    </xf>
    <xf numFmtId="0" fontId="20" fillId="0" borderId="6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center" wrapText="1"/>
    </xf>
    <xf numFmtId="0" fontId="21" fillId="0" borderId="6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22" fillId="0" borderId="6" xfId="0" applyFont="1" applyFill="1" applyBorder="1" applyAlignment="1">
      <alignment horizontal="left" vertical="center"/>
    </xf>
    <xf numFmtId="0" fontId="22" fillId="0" borderId="6" xfId="0" applyFont="1" applyFill="1" applyBorder="1" applyAlignment="1">
      <alignment horizontal="left" vertical="center" wrapText="1"/>
    </xf>
    <xf numFmtId="0" fontId="23" fillId="0" borderId="6" xfId="0" applyFont="1" applyFill="1" applyBorder="1" applyAlignment="1">
      <alignment horizontal="center" vertical="center"/>
    </xf>
    <xf numFmtId="43" fontId="18" fillId="0" borderId="0" xfId="1" applyFont="1" applyAlignment="1">
      <alignment vertical="center"/>
    </xf>
    <xf numFmtId="43" fontId="18" fillId="4" borderId="0" xfId="1" applyFont="1" applyFill="1" applyAlignment="1">
      <alignment vertical="center"/>
    </xf>
    <xf numFmtId="43" fontId="23" fillId="0" borderId="6" xfId="1" applyFont="1" applyFill="1" applyBorder="1" applyAlignment="1">
      <alignment horizontal="center" vertical="center"/>
    </xf>
    <xf numFmtId="43" fontId="18" fillId="0" borderId="0" xfId="1" applyFont="1" applyFill="1" applyAlignment="1">
      <alignment vertical="center"/>
    </xf>
    <xf numFmtId="43" fontId="18" fillId="0" borderId="6" xfId="1" applyFont="1" applyFill="1" applyBorder="1" applyAlignment="1">
      <alignment vertical="center"/>
    </xf>
    <xf numFmtId="2" fontId="18" fillId="0" borderId="0" xfId="0" applyNumberFormat="1" applyFont="1" applyAlignment="1">
      <alignment vertical="center"/>
    </xf>
    <xf numFmtId="2" fontId="18" fillId="0" borderId="6" xfId="0" applyNumberFormat="1" applyFont="1" applyFill="1" applyBorder="1" applyAlignment="1">
      <alignment vertical="center"/>
    </xf>
  </cellXfs>
  <cellStyles count="3">
    <cellStyle name="Millares" xfId="1" builtinId="3"/>
    <cellStyle name="Normal" xfId="0" builtinId="0"/>
    <cellStyle name="Normal 2" xfId="2" xr:uid="{871A579C-4AFA-4602-A1F0-A59F2BDF9FC1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733426</xdr:colOff>
      <xdr:row>1</xdr:row>
      <xdr:rowOff>104775</xdr:rowOff>
    </xdr:from>
    <xdr:to>
      <xdr:col>5</xdr:col>
      <xdr:colOff>923925</xdr:colOff>
      <xdr:row>4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FFAA69-8584-443F-8B61-F16DA3ADC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6" y="295275"/>
          <a:ext cx="7267574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19CD-2047-4CDF-8D0B-58A8836784AB}">
  <dimension ref="A6:I399"/>
  <sheetViews>
    <sheetView tabSelected="1" topLeftCell="A328" workbookViewId="0">
      <selection activeCell="G351" sqref="G351"/>
    </sheetView>
  </sheetViews>
  <sheetFormatPr baseColWidth="10" defaultRowHeight="15" x14ac:dyDescent="0.25"/>
  <cols>
    <col min="3" max="3" width="55" customWidth="1"/>
    <col min="4" max="4" width="17.7109375" customWidth="1"/>
    <col min="5" max="5" width="22" customWidth="1"/>
    <col min="6" max="6" width="17.5703125" customWidth="1"/>
    <col min="7" max="8" width="19.85546875" customWidth="1"/>
    <col min="9" max="9" width="41.85546875" customWidth="1"/>
  </cols>
  <sheetData>
    <row r="6" spans="2:9" ht="43.5" customHeight="1" x14ac:dyDescent="0.25">
      <c r="B6" s="7" t="s">
        <v>211</v>
      </c>
      <c r="C6" s="8"/>
      <c r="D6" s="8"/>
      <c r="E6" s="8"/>
      <c r="F6" s="8"/>
      <c r="G6" s="8"/>
      <c r="H6" s="8"/>
      <c r="I6" s="8"/>
    </row>
    <row r="7" spans="2:9" ht="24.75" customHeight="1" thickBot="1" x14ac:dyDescent="0.3">
      <c r="B7" s="5" t="s">
        <v>213</v>
      </c>
      <c r="C7" s="6"/>
      <c r="D7" s="6"/>
      <c r="E7" s="6"/>
      <c r="F7" s="6"/>
      <c r="G7" s="6"/>
      <c r="H7" s="6"/>
      <c r="I7" s="6"/>
    </row>
    <row r="8" spans="2:9" ht="41.25" customHeight="1" x14ac:dyDescent="0.25">
      <c r="B8" s="10" t="s">
        <v>0</v>
      </c>
      <c r="C8" s="11" t="s">
        <v>205</v>
      </c>
      <c r="D8" s="11" t="s">
        <v>391</v>
      </c>
      <c r="E8" s="11" t="s">
        <v>398</v>
      </c>
      <c r="F8" s="11" t="s">
        <v>212</v>
      </c>
      <c r="G8" s="11" t="s">
        <v>437</v>
      </c>
      <c r="H8" s="11" t="s">
        <v>439</v>
      </c>
      <c r="I8" s="11" t="s">
        <v>1</v>
      </c>
    </row>
    <row r="9" spans="2:9" ht="50.1" customHeight="1" x14ac:dyDescent="0.25">
      <c r="B9" s="12">
        <v>1</v>
      </c>
      <c r="C9" s="13" t="s">
        <v>214</v>
      </c>
      <c r="D9" s="14" t="s">
        <v>392</v>
      </c>
      <c r="E9" s="15" t="s">
        <v>399</v>
      </c>
      <c r="F9" s="38">
        <v>0</v>
      </c>
      <c r="G9" s="43">
        <v>6</v>
      </c>
      <c r="H9" s="43">
        <f>F9*G9</f>
        <v>0</v>
      </c>
      <c r="I9" s="16"/>
    </row>
    <row r="10" spans="2:9" ht="50.1" customHeight="1" x14ac:dyDescent="0.25">
      <c r="B10" s="12">
        <v>2</v>
      </c>
      <c r="C10" s="13" t="s">
        <v>2</v>
      </c>
      <c r="D10" s="14" t="s">
        <v>392</v>
      </c>
      <c r="E10" s="15" t="s">
        <v>400</v>
      </c>
      <c r="F10" s="38">
        <v>4</v>
      </c>
      <c r="G10" s="41">
        <v>10</v>
      </c>
      <c r="H10" s="43">
        <f t="shared" ref="H10:H73" si="0">F10*G10</f>
        <v>40</v>
      </c>
      <c r="I10" s="16"/>
    </row>
    <row r="11" spans="2:9" ht="50.1" customHeight="1" x14ac:dyDescent="0.25">
      <c r="B11" s="12">
        <v>3</v>
      </c>
      <c r="C11" s="13" t="s">
        <v>3</v>
      </c>
      <c r="D11" s="14" t="s">
        <v>392</v>
      </c>
      <c r="E11" s="15" t="s">
        <v>401</v>
      </c>
      <c r="F11" s="38">
        <v>45</v>
      </c>
      <c r="G11" s="41">
        <v>202</v>
      </c>
      <c r="H11" s="43">
        <f t="shared" si="0"/>
        <v>9090</v>
      </c>
      <c r="I11" s="16"/>
    </row>
    <row r="12" spans="2:9" ht="50.1" customHeight="1" x14ac:dyDescent="0.25">
      <c r="B12" s="12">
        <v>4</v>
      </c>
      <c r="C12" s="13" t="s">
        <v>187</v>
      </c>
      <c r="D12" s="14" t="s">
        <v>392</v>
      </c>
      <c r="E12" s="15" t="s">
        <v>401</v>
      </c>
      <c r="F12" s="38">
        <v>12</v>
      </c>
      <c r="G12" s="41">
        <v>110</v>
      </c>
      <c r="H12" s="43">
        <f t="shared" si="0"/>
        <v>1320</v>
      </c>
      <c r="I12" s="16"/>
    </row>
    <row r="13" spans="2:9" ht="50.1" customHeight="1" x14ac:dyDescent="0.25">
      <c r="B13" s="12">
        <v>5</v>
      </c>
      <c r="C13" s="13" t="s">
        <v>4</v>
      </c>
      <c r="D13" s="14" t="s">
        <v>392</v>
      </c>
      <c r="E13" s="15" t="s">
        <v>400</v>
      </c>
      <c r="F13" s="38">
        <v>10</v>
      </c>
      <c r="G13" s="41">
        <v>8</v>
      </c>
      <c r="H13" s="43">
        <f t="shared" si="0"/>
        <v>80</v>
      </c>
      <c r="I13" s="16"/>
    </row>
    <row r="14" spans="2:9" ht="50.1" customHeight="1" x14ac:dyDescent="0.25">
      <c r="B14" s="12">
        <v>6</v>
      </c>
      <c r="C14" s="13" t="s">
        <v>215</v>
      </c>
      <c r="D14" s="14" t="s">
        <v>392</v>
      </c>
      <c r="E14" s="15" t="s">
        <v>402</v>
      </c>
      <c r="F14" s="38">
        <v>0</v>
      </c>
      <c r="G14" s="41">
        <v>0</v>
      </c>
      <c r="H14" s="43">
        <f t="shared" si="0"/>
        <v>0</v>
      </c>
      <c r="I14" s="16"/>
    </row>
    <row r="15" spans="2:9" ht="50.1" customHeight="1" x14ac:dyDescent="0.25">
      <c r="B15" s="12">
        <v>7</v>
      </c>
      <c r="C15" s="13" t="s">
        <v>5</v>
      </c>
      <c r="D15" s="14" t="s">
        <v>392</v>
      </c>
      <c r="E15" s="15" t="s">
        <v>403</v>
      </c>
      <c r="F15" s="38">
        <v>6</v>
      </c>
      <c r="G15" s="41">
        <v>562.35</v>
      </c>
      <c r="H15" s="43">
        <f t="shared" si="0"/>
        <v>3374.1000000000004</v>
      </c>
      <c r="I15" s="16"/>
    </row>
    <row r="16" spans="2:9" ht="50.1" customHeight="1" x14ac:dyDescent="0.25">
      <c r="B16" s="12">
        <v>8</v>
      </c>
      <c r="C16" s="13" t="s">
        <v>216</v>
      </c>
      <c r="D16" s="14" t="s">
        <v>392</v>
      </c>
      <c r="E16" s="15" t="s">
        <v>404</v>
      </c>
      <c r="F16" s="38">
        <v>7</v>
      </c>
      <c r="G16" s="41">
        <v>1</v>
      </c>
      <c r="H16" s="43">
        <f t="shared" si="0"/>
        <v>7</v>
      </c>
      <c r="I16" s="16"/>
    </row>
    <row r="17" spans="2:9" ht="50.1" customHeight="1" x14ac:dyDescent="0.25">
      <c r="B17" s="12">
        <v>9</v>
      </c>
      <c r="C17" s="13" t="s">
        <v>6</v>
      </c>
      <c r="D17" s="14" t="s">
        <v>392</v>
      </c>
      <c r="E17" s="15" t="s">
        <v>404</v>
      </c>
      <c r="F17" s="38">
        <v>17</v>
      </c>
      <c r="G17" s="41">
        <v>1</v>
      </c>
      <c r="H17" s="43">
        <f t="shared" si="0"/>
        <v>17</v>
      </c>
      <c r="I17" s="16"/>
    </row>
    <row r="18" spans="2:9" ht="50.1" customHeight="1" x14ac:dyDescent="0.25">
      <c r="B18" s="12">
        <v>10</v>
      </c>
      <c r="C18" s="13" t="s">
        <v>217</v>
      </c>
      <c r="D18" s="14" t="s">
        <v>392</v>
      </c>
      <c r="E18" s="15" t="s">
        <v>404</v>
      </c>
      <c r="F18" s="38">
        <v>0</v>
      </c>
      <c r="G18" s="41">
        <v>0</v>
      </c>
      <c r="H18" s="43">
        <f t="shared" si="0"/>
        <v>0</v>
      </c>
      <c r="I18" s="16"/>
    </row>
    <row r="19" spans="2:9" ht="50.1" customHeight="1" x14ac:dyDescent="0.25">
      <c r="B19" s="12">
        <v>11</v>
      </c>
      <c r="C19" s="13" t="s">
        <v>218</v>
      </c>
      <c r="D19" s="14" t="s">
        <v>392</v>
      </c>
      <c r="E19" s="15" t="s">
        <v>404</v>
      </c>
      <c r="F19" s="38">
        <v>0</v>
      </c>
      <c r="G19" s="41">
        <v>0</v>
      </c>
      <c r="H19" s="43">
        <f t="shared" si="0"/>
        <v>0</v>
      </c>
      <c r="I19" s="16"/>
    </row>
    <row r="20" spans="2:9" ht="50.1" customHeight="1" x14ac:dyDescent="0.25">
      <c r="B20" s="12">
        <v>12</v>
      </c>
      <c r="C20" s="13" t="s">
        <v>7</v>
      </c>
      <c r="D20" s="14" t="s">
        <v>392</v>
      </c>
      <c r="E20" s="15" t="s">
        <v>399</v>
      </c>
      <c r="F20" s="38">
        <v>1</v>
      </c>
      <c r="G20" s="43">
        <v>19</v>
      </c>
      <c r="H20" s="43">
        <f t="shared" si="0"/>
        <v>19</v>
      </c>
      <c r="I20" s="17"/>
    </row>
    <row r="21" spans="2:9" ht="50.1" customHeight="1" x14ac:dyDescent="0.25">
      <c r="B21" s="12">
        <v>13</v>
      </c>
      <c r="C21" s="13" t="s">
        <v>8</v>
      </c>
      <c r="D21" s="14" t="s">
        <v>392</v>
      </c>
      <c r="E21" s="15" t="s">
        <v>401</v>
      </c>
      <c r="F21" s="38">
        <v>106</v>
      </c>
      <c r="G21" s="41">
        <v>68</v>
      </c>
      <c r="H21" s="43">
        <f t="shared" si="0"/>
        <v>7208</v>
      </c>
      <c r="I21" s="18"/>
    </row>
    <row r="22" spans="2:9" ht="50.1" customHeight="1" x14ac:dyDescent="0.25">
      <c r="B22" s="12">
        <v>14</v>
      </c>
      <c r="C22" s="13" t="s">
        <v>9</v>
      </c>
      <c r="D22" s="14" t="s">
        <v>392</v>
      </c>
      <c r="E22" s="15" t="s">
        <v>405</v>
      </c>
      <c r="F22" s="38">
        <v>3</v>
      </c>
      <c r="G22" s="41">
        <v>1</v>
      </c>
      <c r="H22" s="43">
        <f t="shared" si="0"/>
        <v>3</v>
      </c>
      <c r="I22" s="17"/>
    </row>
    <row r="23" spans="2:9" ht="50.1" customHeight="1" x14ac:dyDescent="0.25">
      <c r="B23" s="12">
        <v>15</v>
      </c>
      <c r="C23" s="13" t="s">
        <v>10</v>
      </c>
      <c r="D23" s="14" t="s">
        <v>392</v>
      </c>
      <c r="E23" s="15" t="s">
        <v>401</v>
      </c>
      <c r="F23" s="38">
        <v>37</v>
      </c>
      <c r="G23" s="41">
        <v>298</v>
      </c>
      <c r="H23" s="43">
        <f t="shared" si="0"/>
        <v>11026</v>
      </c>
      <c r="I23" s="17"/>
    </row>
    <row r="24" spans="2:9" ht="50.1" customHeight="1" x14ac:dyDescent="0.25">
      <c r="B24" s="12">
        <v>16</v>
      </c>
      <c r="C24" s="13" t="s">
        <v>11</v>
      </c>
      <c r="D24" s="14" t="s">
        <v>392</v>
      </c>
      <c r="E24" s="15" t="s">
        <v>401</v>
      </c>
      <c r="F24" s="38">
        <v>0</v>
      </c>
      <c r="G24" s="41">
        <v>0</v>
      </c>
      <c r="H24" s="43">
        <f t="shared" si="0"/>
        <v>0</v>
      </c>
      <c r="I24" s="17"/>
    </row>
    <row r="25" spans="2:9" ht="50.1" customHeight="1" x14ac:dyDescent="0.25">
      <c r="B25" s="12">
        <v>17</v>
      </c>
      <c r="C25" s="13" t="s">
        <v>12</v>
      </c>
      <c r="D25" s="14" t="s">
        <v>392</v>
      </c>
      <c r="E25" s="15" t="s">
        <v>401</v>
      </c>
      <c r="F25" s="38">
        <v>31</v>
      </c>
      <c r="G25" s="41">
        <v>1</v>
      </c>
      <c r="H25" s="43">
        <f t="shared" si="0"/>
        <v>31</v>
      </c>
      <c r="I25" s="17"/>
    </row>
    <row r="26" spans="2:9" ht="50.1" customHeight="1" x14ac:dyDescent="0.25">
      <c r="B26" s="12">
        <v>18</v>
      </c>
      <c r="C26" s="13" t="s">
        <v>13</v>
      </c>
      <c r="D26" s="14" t="s">
        <v>392</v>
      </c>
      <c r="E26" s="15" t="s">
        <v>401</v>
      </c>
      <c r="F26" s="38">
        <v>0</v>
      </c>
      <c r="G26" s="41">
        <v>0</v>
      </c>
      <c r="H26" s="43">
        <f t="shared" si="0"/>
        <v>0</v>
      </c>
      <c r="I26" s="17"/>
    </row>
    <row r="27" spans="2:9" ht="50.1" customHeight="1" x14ac:dyDescent="0.25">
      <c r="B27" s="12">
        <v>19</v>
      </c>
      <c r="C27" s="13" t="s">
        <v>14</v>
      </c>
      <c r="D27" s="14" t="s">
        <v>392</v>
      </c>
      <c r="E27" s="15" t="s">
        <v>406</v>
      </c>
      <c r="F27" s="38">
        <v>250</v>
      </c>
      <c r="G27" s="41">
        <v>1</v>
      </c>
      <c r="H27" s="43">
        <f t="shared" si="0"/>
        <v>250</v>
      </c>
      <c r="I27" s="17"/>
    </row>
    <row r="28" spans="2:9" ht="50.1" customHeight="1" x14ac:dyDescent="0.25">
      <c r="B28" s="12">
        <v>20</v>
      </c>
      <c r="C28" s="13" t="s">
        <v>15</v>
      </c>
      <c r="D28" s="14" t="s">
        <v>436</v>
      </c>
      <c r="E28" s="15" t="s">
        <v>407</v>
      </c>
      <c r="F28" s="38">
        <v>55</v>
      </c>
      <c r="G28" s="43">
        <v>1.2835000000000001</v>
      </c>
      <c r="H28" s="43">
        <f t="shared" si="0"/>
        <v>70.592500000000001</v>
      </c>
      <c r="I28" s="17"/>
    </row>
    <row r="29" spans="2:9" ht="50.1" customHeight="1" x14ac:dyDescent="0.25">
      <c r="B29" s="12">
        <v>21</v>
      </c>
      <c r="C29" s="13" t="s">
        <v>16</v>
      </c>
      <c r="D29" s="14" t="s">
        <v>436</v>
      </c>
      <c r="E29" s="15" t="s">
        <v>407</v>
      </c>
      <c r="F29" s="38">
        <v>66</v>
      </c>
      <c r="G29" s="43">
        <v>1.2835000000000001</v>
      </c>
      <c r="H29" s="43">
        <f t="shared" si="0"/>
        <v>84.711000000000013</v>
      </c>
      <c r="I29" s="17"/>
    </row>
    <row r="30" spans="2:9" ht="50.1" customHeight="1" x14ac:dyDescent="0.25">
      <c r="B30" s="12">
        <v>22</v>
      </c>
      <c r="C30" s="13" t="s">
        <v>188</v>
      </c>
      <c r="D30" s="14" t="s">
        <v>394</v>
      </c>
      <c r="E30" s="15" t="s">
        <v>408</v>
      </c>
      <c r="F30" s="38">
        <v>86</v>
      </c>
      <c r="G30" s="43">
        <v>2.2000000000000002</v>
      </c>
      <c r="H30" s="43">
        <f t="shared" si="0"/>
        <v>189.20000000000002</v>
      </c>
      <c r="I30" s="17"/>
    </row>
    <row r="31" spans="2:9" ht="50.1" customHeight="1" x14ac:dyDescent="0.25">
      <c r="B31" s="12">
        <v>23</v>
      </c>
      <c r="C31" s="13" t="s">
        <v>438</v>
      </c>
      <c r="D31" s="14" t="s">
        <v>394</v>
      </c>
      <c r="E31" s="15" t="s">
        <v>408</v>
      </c>
      <c r="F31" s="38">
        <v>103</v>
      </c>
      <c r="G31" s="43">
        <v>4</v>
      </c>
      <c r="H31" s="43">
        <f t="shared" si="0"/>
        <v>412</v>
      </c>
      <c r="I31" s="18"/>
    </row>
    <row r="32" spans="2:9" ht="50.1" customHeight="1" x14ac:dyDescent="0.25">
      <c r="B32" s="12">
        <v>24</v>
      </c>
      <c r="C32" s="13" t="s">
        <v>17</v>
      </c>
      <c r="D32" s="14" t="s">
        <v>392</v>
      </c>
      <c r="E32" s="15" t="s">
        <v>407</v>
      </c>
      <c r="F32" s="38">
        <v>2</v>
      </c>
      <c r="G32" s="41">
        <v>1</v>
      </c>
      <c r="H32" s="43">
        <f t="shared" si="0"/>
        <v>2</v>
      </c>
      <c r="I32" s="17"/>
    </row>
    <row r="33" spans="2:9" ht="50.1" customHeight="1" x14ac:dyDescent="0.25">
      <c r="B33" s="12">
        <v>25</v>
      </c>
      <c r="C33" s="13" t="s">
        <v>18</v>
      </c>
      <c r="D33" s="14" t="s">
        <v>392</v>
      </c>
      <c r="E33" s="15" t="s">
        <v>407</v>
      </c>
      <c r="F33" s="38">
        <v>192</v>
      </c>
      <c r="G33" s="43">
        <v>0.93500000000000005</v>
      </c>
      <c r="H33" s="43">
        <f t="shared" si="0"/>
        <v>179.52</v>
      </c>
      <c r="I33" s="17"/>
    </row>
    <row r="34" spans="2:9" ht="50.1" customHeight="1" x14ac:dyDescent="0.25">
      <c r="B34" s="12">
        <v>26</v>
      </c>
      <c r="C34" s="13" t="s">
        <v>19</v>
      </c>
      <c r="D34" s="14" t="s">
        <v>392</v>
      </c>
      <c r="E34" s="15" t="s">
        <v>409</v>
      </c>
      <c r="F34" s="38">
        <v>0</v>
      </c>
      <c r="G34" s="41">
        <v>0</v>
      </c>
      <c r="H34" s="43">
        <f t="shared" si="0"/>
        <v>0</v>
      </c>
      <c r="I34" s="17"/>
    </row>
    <row r="35" spans="2:9" ht="50.1" customHeight="1" x14ac:dyDescent="0.25">
      <c r="B35" s="12">
        <v>27</v>
      </c>
      <c r="C35" s="13" t="s">
        <v>219</v>
      </c>
      <c r="D35" s="14" t="s">
        <v>392</v>
      </c>
      <c r="E35" s="15" t="s">
        <v>399</v>
      </c>
      <c r="F35" s="38">
        <v>0</v>
      </c>
      <c r="G35" s="41">
        <v>0</v>
      </c>
      <c r="H35" s="43">
        <f t="shared" si="0"/>
        <v>0</v>
      </c>
      <c r="I35" s="17"/>
    </row>
    <row r="36" spans="2:9" ht="50.1" customHeight="1" x14ac:dyDescent="0.25">
      <c r="B36" s="12">
        <v>28</v>
      </c>
      <c r="C36" s="13" t="s">
        <v>20</v>
      </c>
      <c r="D36" s="14" t="s">
        <v>392</v>
      </c>
      <c r="E36" s="15" t="s">
        <v>410</v>
      </c>
      <c r="F36" s="38">
        <v>2</v>
      </c>
      <c r="G36" s="43">
        <v>140</v>
      </c>
      <c r="H36" s="43">
        <f t="shared" si="0"/>
        <v>280</v>
      </c>
      <c r="I36" s="17"/>
    </row>
    <row r="37" spans="2:9" ht="50.1" customHeight="1" x14ac:dyDescent="0.25">
      <c r="B37" s="12">
        <v>29</v>
      </c>
      <c r="C37" s="13" t="s">
        <v>21</v>
      </c>
      <c r="D37" s="14" t="s">
        <v>394</v>
      </c>
      <c r="E37" s="15" t="s">
        <v>407</v>
      </c>
      <c r="F37" s="38">
        <v>100</v>
      </c>
      <c r="G37" s="41">
        <v>1</v>
      </c>
      <c r="H37" s="43">
        <f t="shared" si="0"/>
        <v>100</v>
      </c>
      <c r="I37" s="17"/>
    </row>
    <row r="38" spans="2:9" ht="50.1" customHeight="1" x14ac:dyDescent="0.25">
      <c r="B38" s="12">
        <v>30</v>
      </c>
      <c r="C38" s="13" t="s">
        <v>22</v>
      </c>
      <c r="D38" s="14" t="s">
        <v>394</v>
      </c>
      <c r="E38" s="15" t="s">
        <v>407</v>
      </c>
      <c r="F38" s="38">
        <v>89</v>
      </c>
      <c r="G38" s="41">
        <v>1</v>
      </c>
      <c r="H38" s="43">
        <f t="shared" si="0"/>
        <v>89</v>
      </c>
      <c r="I38" s="17"/>
    </row>
    <row r="39" spans="2:9" ht="50.1" customHeight="1" x14ac:dyDescent="0.25">
      <c r="B39" s="12">
        <v>31</v>
      </c>
      <c r="C39" s="13" t="s">
        <v>23</v>
      </c>
      <c r="D39" s="14" t="s">
        <v>394</v>
      </c>
      <c r="E39" s="15" t="s">
        <v>407</v>
      </c>
      <c r="F39" s="38">
        <v>10</v>
      </c>
      <c r="G39" s="43">
        <v>11.5</v>
      </c>
      <c r="H39" s="43">
        <f t="shared" si="0"/>
        <v>115</v>
      </c>
      <c r="I39" s="17"/>
    </row>
    <row r="40" spans="2:9" ht="50.1" customHeight="1" x14ac:dyDescent="0.25">
      <c r="B40" s="12">
        <v>32</v>
      </c>
      <c r="C40" s="13" t="s">
        <v>24</v>
      </c>
      <c r="D40" s="14" t="s">
        <v>392</v>
      </c>
      <c r="E40" s="15" t="s">
        <v>407</v>
      </c>
      <c r="F40" s="38">
        <v>10</v>
      </c>
      <c r="G40" s="43">
        <v>12.5</v>
      </c>
      <c r="H40" s="43">
        <f t="shared" si="0"/>
        <v>125</v>
      </c>
      <c r="I40" s="17"/>
    </row>
    <row r="41" spans="2:9" ht="50.1" customHeight="1" x14ac:dyDescent="0.25">
      <c r="B41" s="12">
        <v>33</v>
      </c>
      <c r="C41" s="13" t="s">
        <v>25</v>
      </c>
      <c r="D41" s="14" t="s">
        <v>392</v>
      </c>
      <c r="E41" s="15" t="s">
        <v>411</v>
      </c>
      <c r="F41" s="38">
        <v>2</v>
      </c>
      <c r="G41" s="41">
        <v>1</v>
      </c>
      <c r="H41" s="43">
        <f t="shared" si="0"/>
        <v>2</v>
      </c>
      <c r="I41" s="17"/>
    </row>
    <row r="42" spans="2:9" ht="50.1" customHeight="1" x14ac:dyDescent="0.25">
      <c r="B42" s="12">
        <v>34</v>
      </c>
      <c r="C42" s="13" t="s">
        <v>26</v>
      </c>
      <c r="D42" s="14" t="s">
        <v>392</v>
      </c>
      <c r="E42" s="15" t="s">
        <v>411</v>
      </c>
      <c r="F42" s="38">
        <v>113</v>
      </c>
      <c r="G42" s="41">
        <v>1</v>
      </c>
      <c r="H42" s="43">
        <f t="shared" si="0"/>
        <v>113</v>
      </c>
      <c r="I42" s="17"/>
    </row>
    <row r="43" spans="2:9" ht="50.1" customHeight="1" x14ac:dyDescent="0.25">
      <c r="B43" s="12">
        <v>35</v>
      </c>
      <c r="C43" s="13" t="s">
        <v>27</v>
      </c>
      <c r="D43" s="14" t="s">
        <v>392</v>
      </c>
      <c r="E43" s="15" t="s">
        <v>411</v>
      </c>
      <c r="F43" s="38">
        <v>23</v>
      </c>
      <c r="G43" s="41">
        <v>120</v>
      </c>
      <c r="H43" s="43">
        <f t="shared" si="0"/>
        <v>2760</v>
      </c>
      <c r="I43" s="17"/>
    </row>
    <row r="44" spans="2:9" ht="50.1" customHeight="1" x14ac:dyDescent="0.25">
      <c r="B44" s="12">
        <v>36</v>
      </c>
      <c r="C44" s="13" t="s">
        <v>28</v>
      </c>
      <c r="D44" s="14" t="s">
        <v>392</v>
      </c>
      <c r="E44" s="15" t="s">
        <v>409</v>
      </c>
      <c r="F44" s="38">
        <v>13</v>
      </c>
      <c r="G44" s="41">
        <v>1</v>
      </c>
      <c r="H44" s="43">
        <f t="shared" si="0"/>
        <v>13</v>
      </c>
      <c r="I44" s="17"/>
    </row>
    <row r="45" spans="2:9" ht="50.1" customHeight="1" x14ac:dyDescent="0.25">
      <c r="B45" s="12">
        <v>37</v>
      </c>
      <c r="C45" s="13" t="s">
        <v>29</v>
      </c>
      <c r="D45" s="14" t="s">
        <v>392</v>
      </c>
      <c r="E45" s="15" t="s">
        <v>412</v>
      </c>
      <c r="F45" s="38">
        <v>13</v>
      </c>
      <c r="G45" s="41">
        <v>1</v>
      </c>
      <c r="H45" s="43">
        <f t="shared" si="0"/>
        <v>13</v>
      </c>
      <c r="I45" s="17"/>
    </row>
    <row r="46" spans="2:9" ht="50.1" customHeight="1" x14ac:dyDescent="0.25">
      <c r="B46" s="12">
        <v>38</v>
      </c>
      <c r="C46" s="13" t="s">
        <v>30</v>
      </c>
      <c r="D46" s="14" t="s">
        <v>392</v>
      </c>
      <c r="E46" s="15" t="s">
        <v>412</v>
      </c>
      <c r="F46" s="38">
        <v>3</v>
      </c>
      <c r="G46" s="41">
        <v>1</v>
      </c>
      <c r="H46" s="43">
        <f t="shared" si="0"/>
        <v>3</v>
      </c>
      <c r="I46" s="17"/>
    </row>
    <row r="47" spans="2:9" ht="50.1" customHeight="1" x14ac:dyDescent="0.25">
      <c r="B47" s="12">
        <v>39</v>
      </c>
      <c r="C47" s="13" t="s">
        <v>31</v>
      </c>
      <c r="D47" s="14" t="s">
        <v>392</v>
      </c>
      <c r="E47" s="15" t="s">
        <v>412</v>
      </c>
      <c r="F47" s="38">
        <v>73</v>
      </c>
      <c r="G47" s="41">
        <v>1</v>
      </c>
      <c r="H47" s="43">
        <f t="shared" si="0"/>
        <v>73</v>
      </c>
      <c r="I47" s="18"/>
    </row>
    <row r="48" spans="2:9" ht="50.1" customHeight="1" x14ac:dyDescent="0.25">
      <c r="B48" s="12">
        <v>40</v>
      </c>
      <c r="C48" s="13" t="s">
        <v>220</v>
      </c>
      <c r="D48" s="14" t="s">
        <v>392</v>
      </c>
      <c r="E48" s="15" t="s">
        <v>407</v>
      </c>
      <c r="F48" s="38">
        <v>218</v>
      </c>
      <c r="G48" s="43">
        <f>0.9435/6</f>
        <v>0.15725</v>
      </c>
      <c r="H48" s="43">
        <f t="shared" si="0"/>
        <v>34.280500000000004</v>
      </c>
      <c r="I48" s="18"/>
    </row>
    <row r="49" spans="2:9" ht="50.1" customHeight="1" x14ac:dyDescent="0.25">
      <c r="B49" s="12">
        <v>41</v>
      </c>
      <c r="C49" s="13" t="s">
        <v>32</v>
      </c>
      <c r="D49" s="14" t="s">
        <v>392</v>
      </c>
      <c r="E49" s="15" t="s">
        <v>411</v>
      </c>
      <c r="F49" s="38">
        <v>98</v>
      </c>
      <c r="G49" s="41">
        <v>5.25</v>
      </c>
      <c r="H49" s="43">
        <f t="shared" si="0"/>
        <v>514.5</v>
      </c>
      <c r="I49" s="17"/>
    </row>
    <row r="50" spans="2:9" ht="50.1" customHeight="1" x14ac:dyDescent="0.25">
      <c r="B50" s="12">
        <v>42</v>
      </c>
      <c r="C50" s="13" t="s">
        <v>33</v>
      </c>
      <c r="D50" s="14" t="s">
        <v>392</v>
      </c>
      <c r="E50" s="15" t="s">
        <v>411</v>
      </c>
      <c r="F50" s="38">
        <v>57</v>
      </c>
      <c r="G50" s="41">
        <v>2.16</v>
      </c>
      <c r="H50" s="43">
        <f t="shared" si="0"/>
        <v>123.12</v>
      </c>
      <c r="I50" s="17"/>
    </row>
    <row r="51" spans="2:9" ht="50.1" customHeight="1" x14ac:dyDescent="0.25">
      <c r="B51" s="12">
        <v>43</v>
      </c>
      <c r="C51" s="13" t="s">
        <v>34</v>
      </c>
      <c r="D51" s="14" t="s">
        <v>392</v>
      </c>
      <c r="E51" s="15" t="s">
        <v>411</v>
      </c>
      <c r="F51" s="38">
        <v>97</v>
      </c>
      <c r="G51" s="41">
        <v>3</v>
      </c>
      <c r="H51" s="43">
        <f t="shared" si="0"/>
        <v>291</v>
      </c>
      <c r="I51" s="17"/>
    </row>
    <row r="52" spans="2:9" ht="50.1" customHeight="1" x14ac:dyDescent="0.25">
      <c r="B52" s="12">
        <v>44</v>
      </c>
      <c r="C52" s="13" t="s">
        <v>189</v>
      </c>
      <c r="D52" s="14" t="s">
        <v>392</v>
      </c>
      <c r="E52" s="15" t="s">
        <v>411</v>
      </c>
      <c r="F52" s="38">
        <v>80</v>
      </c>
      <c r="G52" s="41">
        <v>1.96</v>
      </c>
      <c r="H52" s="43">
        <f t="shared" si="0"/>
        <v>156.80000000000001</v>
      </c>
      <c r="I52" s="17"/>
    </row>
    <row r="53" spans="2:9" ht="50.1" customHeight="1" x14ac:dyDescent="0.25">
      <c r="B53" s="12">
        <v>45</v>
      </c>
      <c r="C53" s="13" t="s">
        <v>35</v>
      </c>
      <c r="D53" s="14" t="s">
        <v>392</v>
      </c>
      <c r="E53" s="15" t="s">
        <v>413</v>
      </c>
      <c r="F53" s="38">
        <v>4</v>
      </c>
      <c r="G53" s="40">
        <v>35</v>
      </c>
      <c r="H53" s="43">
        <f t="shared" si="0"/>
        <v>140</v>
      </c>
      <c r="I53" s="17"/>
    </row>
    <row r="54" spans="2:9" ht="50.1" customHeight="1" x14ac:dyDescent="0.25">
      <c r="B54" s="12">
        <v>46</v>
      </c>
      <c r="C54" s="13" t="s">
        <v>36</v>
      </c>
      <c r="D54" s="14" t="s">
        <v>392</v>
      </c>
      <c r="E54" s="15" t="s">
        <v>409</v>
      </c>
      <c r="F54" s="38">
        <v>5</v>
      </c>
      <c r="G54" s="41">
        <v>1</v>
      </c>
      <c r="H54" s="43">
        <f t="shared" si="0"/>
        <v>5</v>
      </c>
      <c r="I54" s="17"/>
    </row>
    <row r="55" spans="2:9" ht="50.1" customHeight="1" x14ac:dyDescent="0.25">
      <c r="B55" s="12">
        <v>47</v>
      </c>
      <c r="C55" s="13" t="s">
        <v>37</v>
      </c>
      <c r="D55" s="14" t="s">
        <v>392</v>
      </c>
      <c r="E55" s="15" t="s">
        <v>411</v>
      </c>
      <c r="F55" s="38">
        <v>47</v>
      </c>
      <c r="G55" s="41">
        <v>3.12</v>
      </c>
      <c r="H55" s="43">
        <f t="shared" si="0"/>
        <v>146.64000000000001</v>
      </c>
      <c r="I55" s="17"/>
    </row>
    <row r="56" spans="2:9" ht="50.1" customHeight="1" x14ac:dyDescent="0.25">
      <c r="B56" s="12">
        <v>48</v>
      </c>
      <c r="C56" s="13" t="s">
        <v>38</v>
      </c>
      <c r="D56" s="14" t="s">
        <v>396</v>
      </c>
      <c r="E56" s="15" t="s">
        <v>407</v>
      </c>
      <c r="F56" s="38">
        <v>41</v>
      </c>
      <c r="G56" s="41">
        <v>1</v>
      </c>
      <c r="H56" s="43">
        <f t="shared" si="0"/>
        <v>41</v>
      </c>
      <c r="I56" s="17"/>
    </row>
    <row r="57" spans="2:9" ht="50.1" customHeight="1" x14ac:dyDescent="0.25">
      <c r="B57" s="12">
        <v>49</v>
      </c>
      <c r="C57" s="13" t="s">
        <v>39</v>
      </c>
      <c r="D57" s="14" t="s">
        <v>396</v>
      </c>
      <c r="E57" s="15" t="s">
        <v>407</v>
      </c>
      <c r="F57" s="38">
        <v>58</v>
      </c>
      <c r="G57" s="41">
        <v>1</v>
      </c>
      <c r="H57" s="43">
        <f t="shared" si="0"/>
        <v>58</v>
      </c>
      <c r="I57" s="17"/>
    </row>
    <row r="58" spans="2:9" ht="50.1" customHeight="1" x14ac:dyDescent="0.25">
      <c r="B58" s="12">
        <v>50</v>
      </c>
      <c r="C58" s="13" t="s">
        <v>40</v>
      </c>
      <c r="D58" s="14" t="s">
        <v>396</v>
      </c>
      <c r="E58" s="15" t="s">
        <v>407</v>
      </c>
      <c r="F58" s="38">
        <v>0</v>
      </c>
      <c r="G58" s="41">
        <v>0</v>
      </c>
      <c r="H58" s="43">
        <f t="shared" si="0"/>
        <v>0</v>
      </c>
      <c r="I58" s="17"/>
    </row>
    <row r="59" spans="2:9" ht="50.1" customHeight="1" x14ac:dyDescent="0.25">
      <c r="B59" s="12">
        <v>51</v>
      </c>
      <c r="C59" s="13" t="s">
        <v>41</v>
      </c>
      <c r="D59" s="14" t="s">
        <v>396</v>
      </c>
      <c r="E59" s="15" t="s">
        <v>407</v>
      </c>
      <c r="F59" s="38">
        <v>73</v>
      </c>
      <c r="G59" s="41">
        <v>1</v>
      </c>
      <c r="H59" s="43">
        <f t="shared" si="0"/>
        <v>73</v>
      </c>
      <c r="I59" s="17"/>
    </row>
    <row r="60" spans="2:9" ht="50.1" customHeight="1" x14ac:dyDescent="0.25">
      <c r="B60" s="12">
        <v>52</v>
      </c>
      <c r="C60" s="13" t="s">
        <v>42</v>
      </c>
      <c r="D60" s="14" t="s">
        <v>392</v>
      </c>
      <c r="E60" s="15" t="s">
        <v>414</v>
      </c>
      <c r="F60" s="38">
        <v>13</v>
      </c>
      <c r="G60" s="41">
        <v>1</v>
      </c>
      <c r="H60" s="43">
        <f t="shared" si="0"/>
        <v>13</v>
      </c>
      <c r="I60" s="17"/>
    </row>
    <row r="61" spans="2:9" ht="50.1" customHeight="1" x14ac:dyDescent="0.25">
      <c r="B61" s="12">
        <v>53</v>
      </c>
      <c r="C61" s="13" t="s">
        <v>221</v>
      </c>
      <c r="D61" s="14" t="s">
        <v>392</v>
      </c>
      <c r="E61" s="15" t="s">
        <v>399</v>
      </c>
      <c r="F61" s="38">
        <v>0</v>
      </c>
      <c r="G61" s="41">
        <v>0</v>
      </c>
      <c r="H61" s="43">
        <f t="shared" si="0"/>
        <v>0</v>
      </c>
      <c r="I61" s="17"/>
    </row>
    <row r="62" spans="2:9" ht="50.1" customHeight="1" x14ac:dyDescent="0.25">
      <c r="B62" s="12">
        <v>54</v>
      </c>
      <c r="C62" s="13" t="s">
        <v>43</v>
      </c>
      <c r="D62" s="14" t="s">
        <v>392</v>
      </c>
      <c r="E62" s="15" t="s">
        <v>412</v>
      </c>
      <c r="F62" s="38">
        <v>165</v>
      </c>
      <c r="G62" s="41">
        <v>17.399999999999999</v>
      </c>
      <c r="H62" s="43">
        <f t="shared" si="0"/>
        <v>2870.9999999999995</v>
      </c>
      <c r="I62" s="17"/>
    </row>
    <row r="63" spans="2:9" ht="50.1" customHeight="1" x14ac:dyDescent="0.25">
      <c r="B63" s="12">
        <v>55</v>
      </c>
      <c r="C63" s="13" t="s">
        <v>44</v>
      </c>
      <c r="D63" s="14" t="s">
        <v>392</v>
      </c>
      <c r="E63" s="15" t="s">
        <v>404</v>
      </c>
      <c r="F63" s="38">
        <v>13</v>
      </c>
      <c r="G63" s="41">
        <v>40</v>
      </c>
      <c r="H63" s="43">
        <f t="shared" si="0"/>
        <v>520</v>
      </c>
      <c r="I63" s="17"/>
    </row>
    <row r="64" spans="2:9" ht="50.1" customHeight="1" x14ac:dyDescent="0.25">
      <c r="B64" s="12">
        <v>56</v>
      </c>
      <c r="C64" s="13" t="s">
        <v>45</v>
      </c>
      <c r="D64" s="14" t="s">
        <v>392</v>
      </c>
      <c r="E64" s="15" t="s">
        <v>411</v>
      </c>
      <c r="F64" s="38">
        <v>52</v>
      </c>
      <c r="G64" s="43">
        <v>1.53</v>
      </c>
      <c r="H64" s="43">
        <f t="shared" si="0"/>
        <v>79.56</v>
      </c>
      <c r="I64" s="17"/>
    </row>
    <row r="65" spans="2:9" ht="50.1" customHeight="1" x14ac:dyDescent="0.25">
      <c r="B65" s="12">
        <v>57</v>
      </c>
      <c r="C65" s="13" t="s">
        <v>46</v>
      </c>
      <c r="D65" s="14" t="s">
        <v>392</v>
      </c>
      <c r="E65" s="15" t="s">
        <v>415</v>
      </c>
      <c r="F65" s="38">
        <v>0</v>
      </c>
      <c r="G65" s="41">
        <v>0</v>
      </c>
      <c r="H65" s="43">
        <f t="shared" si="0"/>
        <v>0</v>
      </c>
      <c r="I65" s="17"/>
    </row>
    <row r="66" spans="2:9" ht="50.1" customHeight="1" x14ac:dyDescent="0.25">
      <c r="B66" s="12">
        <v>58</v>
      </c>
      <c r="C66" s="13" t="s">
        <v>47</v>
      </c>
      <c r="D66" s="14" t="s">
        <v>392</v>
      </c>
      <c r="E66" s="15" t="s">
        <v>415</v>
      </c>
      <c r="F66" s="38">
        <v>193</v>
      </c>
      <c r="G66" s="41">
        <v>380</v>
      </c>
      <c r="H66" s="43">
        <f t="shared" si="0"/>
        <v>73340</v>
      </c>
      <c r="I66" s="17"/>
    </row>
    <row r="67" spans="2:9" ht="50.1" customHeight="1" x14ac:dyDescent="0.25">
      <c r="B67" s="12">
        <v>59</v>
      </c>
      <c r="C67" s="13" t="s">
        <v>48</v>
      </c>
      <c r="D67" s="14" t="s">
        <v>392</v>
      </c>
      <c r="E67" s="15" t="s">
        <v>404</v>
      </c>
      <c r="F67" s="38">
        <v>16</v>
      </c>
      <c r="G67" s="43">
        <v>2</v>
      </c>
      <c r="H67" s="43">
        <f t="shared" si="0"/>
        <v>32</v>
      </c>
      <c r="I67" s="17"/>
    </row>
    <row r="68" spans="2:9" ht="50.1" customHeight="1" x14ac:dyDescent="0.25">
      <c r="B68" s="12">
        <v>60</v>
      </c>
      <c r="C68" s="13" t="s">
        <v>222</v>
      </c>
      <c r="D68" s="14" t="s">
        <v>392</v>
      </c>
      <c r="E68" s="15" t="s">
        <v>404</v>
      </c>
      <c r="F68" s="38">
        <v>0</v>
      </c>
      <c r="G68" s="43">
        <v>1.9</v>
      </c>
      <c r="H68" s="43">
        <f t="shared" si="0"/>
        <v>0</v>
      </c>
      <c r="I68" s="17"/>
    </row>
    <row r="69" spans="2:9" ht="50.1" customHeight="1" x14ac:dyDescent="0.25">
      <c r="B69" s="12">
        <v>61</v>
      </c>
      <c r="C69" s="13" t="s">
        <v>190</v>
      </c>
      <c r="D69" s="14" t="s">
        <v>392</v>
      </c>
      <c r="E69" s="15" t="s">
        <v>411</v>
      </c>
      <c r="F69" s="38">
        <v>14</v>
      </c>
      <c r="G69" s="43">
        <v>135</v>
      </c>
      <c r="H69" s="43">
        <f t="shared" si="0"/>
        <v>1890</v>
      </c>
      <c r="I69" s="17"/>
    </row>
    <row r="70" spans="2:9" ht="50.1" customHeight="1" x14ac:dyDescent="0.25">
      <c r="B70" s="12">
        <v>62</v>
      </c>
      <c r="C70" s="13" t="s">
        <v>191</v>
      </c>
      <c r="D70" s="14" t="s">
        <v>392</v>
      </c>
      <c r="E70" s="15" t="s">
        <v>416</v>
      </c>
      <c r="F70" s="38">
        <v>5</v>
      </c>
      <c r="G70" s="43">
        <f>220</f>
        <v>220</v>
      </c>
      <c r="H70" s="43">
        <f t="shared" si="0"/>
        <v>1100</v>
      </c>
      <c r="I70" s="17"/>
    </row>
    <row r="71" spans="2:9" ht="50.1" customHeight="1" x14ac:dyDescent="0.25">
      <c r="B71" s="12">
        <v>63</v>
      </c>
      <c r="C71" s="13" t="s">
        <v>49</v>
      </c>
      <c r="D71" s="14" t="s">
        <v>392</v>
      </c>
      <c r="E71" s="15" t="s">
        <v>405</v>
      </c>
      <c r="F71" s="38">
        <v>3</v>
      </c>
      <c r="G71" s="41">
        <v>1</v>
      </c>
      <c r="H71" s="43">
        <f t="shared" si="0"/>
        <v>3</v>
      </c>
      <c r="I71" s="17"/>
    </row>
    <row r="72" spans="2:9" ht="50.1" customHeight="1" x14ac:dyDescent="0.25">
      <c r="B72" s="12">
        <v>64</v>
      </c>
      <c r="C72" s="13" t="s">
        <v>50</v>
      </c>
      <c r="D72" s="14" t="s">
        <v>392</v>
      </c>
      <c r="E72" s="15" t="s">
        <v>406</v>
      </c>
      <c r="F72" s="38">
        <v>218</v>
      </c>
      <c r="G72" s="43">
        <v>0.56950000000000001</v>
      </c>
      <c r="H72" s="43">
        <f t="shared" si="0"/>
        <v>124.151</v>
      </c>
      <c r="I72" s="17"/>
    </row>
    <row r="73" spans="2:9" ht="50.1" customHeight="1" x14ac:dyDescent="0.25">
      <c r="B73" s="12">
        <v>65</v>
      </c>
      <c r="C73" s="13" t="s">
        <v>51</v>
      </c>
      <c r="D73" s="14" t="s">
        <v>392</v>
      </c>
      <c r="E73" s="15" t="s">
        <v>406</v>
      </c>
      <c r="F73" s="38">
        <v>48</v>
      </c>
      <c r="G73" s="41">
        <v>1</v>
      </c>
      <c r="H73" s="43">
        <f t="shared" si="0"/>
        <v>48</v>
      </c>
      <c r="I73" s="17"/>
    </row>
    <row r="74" spans="2:9" ht="50.1" customHeight="1" x14ac:dyDescent="0.25">
      <c r="B74" s="12">
        <v>66</v>
      </c>
      <c r="C74" s="13" t="s">
        <v>52</v>
      </c>
      <c r="D74" s="14" t="s">
        <v>392</v>
      </c>
      <c r="E74" s="15" t="s">
        <v>406</v>
      </c>
      <c r="F74" s="38">
        <v>268</v>
      </c>
      <c r="G74" s="41">
        <v>1</v>
      </c>
      <c r="H74" s="43">
        <f t="shared" ref="H74:H137" si="1">F74*G74</f>
        <v>268</v>
      </c>
      <c r="I74" s="17"/>
    </row>
    <row r="75" spans="2:9" ht="50.1" customHeight="1" x14ac:dyDescent="0.25">
      <c r="B75" s="12">
        <v>67</v>
      </c>
      <c r="C75" s="13" t="s">
        <v>53</v>
      </c>
      <c r="D75" s="14" t="s">
        <v>392</v>
      </c>
      <c r="E75" s="15" t="s">
        <v>406</v>
      </c>
      <c r="F75" s="38">
        <v>323</v>
      </c>
      <c r="G75" s="41">
        <v>1</v>
      </c>
      <c r="H75" s="43">
        <f t="shared" si="1"/>
        <v>323</v>
      </c>
      <c r="I75" s="17"/>
    </row>
    <row r="76" spans="2:9" ht="50.1" customHeight="1" x14ac:dyDescent="0.25">
      <c r="B76" s="12">
        <v>68</v>
      </c>
      <c r="C76" s="13" t="s">
        <v>54</v>
      </c>
      <c r="D76" s="14" t="s">
        <v>392</v>
      </c>
      <c r="E76" s="15" t="s">
        <v>404</v>
      </c>
      <c r="F76" s="38">
        <v>1</v>
      </c>
      <c r="G76" s="41">
        <v>1</v>
      </c>
      <c r="H76" s="43">
        <f t="shared" si="1"/>
        <v>1</v>
      </c>
      <c r="I76" s="17"/>
    </row>
    <row r="77" spans="2:9" ht="50.1" customHeight="1" x14ac:dyDescent="0.25">
      <c r="B77" s="12">
        <v>69</v>
      </c>
      <c r="C77" s="13" t="s">
        <v>223</v>
      </c>
      <c r="D77" s="14" t="s">
        <v>392</v>
      </c>
      <c r="E77" s="15" t="s">
        <v>399</v>
      </c>
      <c r="F77" s="38">
        <v>0</v>
      </c>
      <c r="G77" s="41">
        <v>1</v>
      </c>
      <c r="H77" s="43">
        <f t="shared" si="1"/>
        <v>0</v>
      </c>
      <c r="I77" s="17"/>
    </row>
    <row r="78" spans="2:9" ht="50.1" customHeight="1" x14ac:dyDescent="0.25">
      <c r="B78" s="12">
        <v>70</v>
      </c>
      <c r="C78" s="13" t="s">
        <v>55</v>
      </c>
      <c r="D78" s="14" t="s">
        <v>392</v>
      </c>
      <c r="E78" s="15" t="s">
        <v>417</v>
      </c>
      <c r="F78" s="38">
        <v>70</v>
      </c>
      <c r="G78" s="41">
        <v>1</v>
      </c>
      <c r="H78" s="43">
        <f t="shared" si="1"/>
        <v>70</v>
      </c>
      <c r="I78" s="17"/>
    </row>
    <row r="79" spans="2:9" ht="50.1" customHeight="1" x14ac:dyDescent="0.25">
      <c r="B79" s="12">
        <v>71</v>
      </c>
      <c r="C79" s="13" t="s">
        <v>56</v>
      </c>
      <c r="D79" s="14" t="s">
        <v>392</v>
      </c>
      <c r="E79" s="15" t="s">
        <v>402</v>
      </c>
      <c r="F79" s="38">
        <v>3</v>
      </c>
      <c r="G79" s="41">
        <v>1</v>
      </c>
      <c r="H79" s="43">
        <f t="shared" si="1"/>
        <v>3</v>
      </c>
      <c r="I79" s="17"/>
    </row>
    <row r="80" spans="2:9" ht="50.1" customHeight="1" x14ac:dyDescent="0.25">
      <c r="B80" s="12">
        <v>72</v>
      </c>
      <c r="C80" s="13" t="s">
        <v>57</v>
      </c>
      <c r="D80" s="14" t="s">
        <v>392</v>
      </c>
      <c r="E80" s="15" t="s">
        <v>406</v>
      </c>
      <c r="F80" s="38">
        <v>87</v>
      </c>
      <c r="G80" s="43">
        <v>6.7065000000000001</v>
      </c>
      <c r="H80" s="43">
        <f t="shared" si="1"/>
        <v>583.46550000000002</v>
      </c>
      <c r="I80" s="17"/>
    </row>
    <row r="81" spans="2:9" ht="50.1" customHeight="1" x14ac:dyDescent="0.25">
      <c r="B81" s="12">
        <v>73</v>
      </c>
      <c r="C81" s="13" t="s">
        <v>58</v>
      </c>
      <c r="D81" s="14" t="s">
        <v>392</v>
      </c>
      <c r="E81" s="15" t="s">
        <v>409</v>
      </c>
      <c r="F81" s="38">
        <v>8</v>
      </c>
      <c r="G81" s="41">
        <v>1</v>
      </c>
      <c r="H81" s="43">
        <f t="shared" si="1"/>
        <v>8</v>
      </c>
      <c r="I81" s="17"/>
    </row>
    <row r="82" spans="2:9" ht="50.1" customHeight="1" x14ac:dyDescent="0.25">
      <c r="B82" s="12">
        <v>74</v>
      </c>
      <c r="C82" s="13" t="s">
        <v>59</v>
      </c>
      <c r="D82" s="14" t="s">
        <v>392</v>
      </c>
      <c r="E82" s="15" t="s">
        <v>409</v>
      </c>
      <c r="F82" s="38">
        <v>56</v>
      </c>
      <c r="G82" s="41">
        <v>1</v>
      </c>
      <c r="H82" s="43">
        <f t="shared" si="1"/>
        <v>56</v>
      </c>
      <c r="I82" s="17"/>
    </row>
    <row r="83" spans="2:9" ht="50.1" customHeight="1" x14ac:dyDescent="0.25">
      <c r="B83" s="12">
        <v>75</v>
      </c>
      <c r="C83" s="13" t="s">
        <v>60</v>
      </c>
      <c r="D83" s="14" t="s">
        <v>392</v>
      </c>
      <c r="E83" s="15" t="s">
        <v>401</v>
      </c>
      <c r="F83" s="38">
        <v>0</v>
      </c>
      <c r="G83" s="41">
        <v>0</v>
      </c>
      <c r="H83" s="43">
        <f t="shared" si="1"/>
        <v>0</v>
      </c>
      <c r="I83" s="17"/>
    </row>
    <row r="84" spans="2:9" ht="50.1" customHeight="1" x14ac:dyDescent="0.25">
      <c r="B84" s="12">
        <v>76</v>
      </c>
      <c r="C84" s="13" t="s">
        <v>61</v>
      </c>
      <c r="D84" s="14" t="s">
        <v>392</v>
      </c>
      <c r="E84" s="15" t="s">
        <v>401</v>
      </c>
      <c r="F84" s="38">
        <v>25</v>
      </c>
      <c r="G84" s="41">
        <v>240</v>
      </c>
      <c r="H84" s="43">
        <f t="shared" si="1"/>
        <v>6000</v>
      </c>
      <c r="I84" s="17"/>
    </row>
    <row r="85" spans="2:9" ht="50.1" customHeight="1" x14ac:dyDescent="0.25">
      <c r="B85" s="12">
        <v>77</v>
      </c>
      <c r="C85" s="13" t="s">
        <v>62</v>
      </c>
      <c r="D85" s="14" t="s">
        <v>392</v>
      </c>
      <c r="E85" s="15" t="s">
        <v>401</v>
      </c>
      <c r="F85" s="38">
        <v>3</v>
      </c>
      <c r="G85" s="41">
        <v>105</v>
      </c>
      <c r="H85" s="43">
        <f t="shared" si="1"/>
        <v>315</v>
      </c>
      <c r="I85" s="17"/>
    </row>
    <row r="86" spans="2:9" ht="50.1" customHeight="1" x14ac:dyDescent="0.25">
      <c r="B86" s="12">
        <v>78</v>
      </c>
      <c r="C86" s="13" t="s">
        <v>192</v>
      </c>
      <c r="D86" s="14" t="s">
        <v>392</v>
      </c>
      <c r="E86" s="15" t="s">
        <v>401</v>
      </c>
      <c r="F86" s="38">
        <v>99</v>
      </c>
      <c r="G86" s="41">
        <v>1</v>
      </c>
      <c r="H86" s="43">
        <f t="shared" si="1"/>
        <v>99</v>
      </c>
      <c r="I86" s="17"/>
    </row>
    <row r="87" spans="2:9" ht="50.1" customHeight="1" x14ac:dyDescent="0.25">
      <c r="B87" s="12">
        <v>79</v>
      </c>
      <c r="C87" s="13" t="s">
        <v>63</v>
      </c>
      <c r="D87" s="14" t="s">
        <v>395</v>
      </c>
      <c r="E87" s="15" t="s">
        <v>409</v>
      </c>
      <c r="F87" s="38">
        <v>94</v>
      </c>
      <c r="G87" s="41">
        <v>1</v>
      </c>
      <c r="H87" s="43">
        <f t="shared" si="1"/>
        <v>94</v>
      </c>
      <c r="I87" s="17"/>
    </row>
    <row r="88" spans="2:9" ht="50.1" customHeight="1" x14ac:dyDescent="0.25">
      <c r="B88" s="12">
        <v>80</v>
      </c>
      <c r="C88" s="13" t="s">
        <v>224</v>
      </c>
      <c r="D88" s="14" t="s">
        <v>392</v>
      </c>
      <c r="E88" s="15" t="s">
        <v>399</v>
      </c>
      <c r="F88" s="38">
        <v>0</v>
      </c>
      <c r="G88" s="43">
        <v>6</v>
      </c>
      <c r="H88" s="43">
        <f t="shared" si="1"/>
        <v>0</v>
      </c>
      <c r="I88" s="17"/>
    </row>
    <row r="89" spans="2:9" ht="50.1" customHeight="1" x14ac:dyDescent="0.25">
      <c r="B89" s="12">
        <v>81</v>
      </c>
      <c r="C89" s="13" t="s">
        <v>64</v>
      </c>
      <c r="D89" s="14" t="s">
        <v>392</v>
      </c>
      <c r="E89" s="15" t="s">
        <v>408</v>
      </c>
      <c r="F89" s="38">
        <v>1327</v>
      </c>
      <c r="G89" s="41">
        <v>0.6</v>
      </c>
      <c r="H89" s="43">
        <f t="shared" si="1"/>
        <v>796.19999999999993</v>
      </c>
      <c r="I89" s="17"/>
    </row>
    <row r="90" spans="2:9" ht="50.1" customHeight="1" x14ac:dyDescent="0.25">
      <c r="B90" s="12">
        <v>82</v>
      </c>
      <c r="C90" s="13" t="s">
        <v>65</v>
      </c>
      <c r="D90" s="14" t="s">
        <v>392</v>
      </c>
      <c r="E90" s="15" t="s">
        <v>408</v>
      </c>
      <c r="F90" s="38">
        <v>949</v>
      </c>
      <c r="G90" s="41">
        <v>0.85</v>
      </c>
      <c r="H90" s="43">
        <f t="shared" si="1"/>
        <v>806.65</v>
      </c>
      <c r="I90" s="17"/>
    </row>
    <row r="91" spans="2:9" ht="50.1" customHeight="1" x14ac:dyDescent="0.25">
      <c r="B91" s="12">
        <v>83</v>
      </c>
      <c r="C91" s="13" t="s">
        <v>225</v>
      </c>
      <c r="D91" s="14" t="s">
        <v>392</v>
      </c>
      <c r="E91" s="15" t="s">
        <v>399</v>
      </c>
      <c r="F91" s="38">
        <v>0</v>
      </c>
      <c r="G91" s="41">
        <v>0</v>
      </c>
      <c r="H91" s="43">
        <f t="shared" si="1"/>
        <v>0</v>
      </c>
      <c r="I91" s="17"/>
    </row>
    <row r="92" spans="2:9" ht="50.1" customHeight="1" x14ac:dyDescent="0.25">
      <c r="B92" s="12">
        <v>84</v>
      </c>
      <c r="C92" s="13" t="s">
        <v>66</v>
      </c>
      <c r="D92" s="14" t="s">
        <v>392</v>
      </c>
      <c r="E92" s="15" t="s">
        <v>401</v>
      </c>
      <c r="F92" s="38">
        <v>15</v>
      </c>
      <c r="G92" s="41">
        <v>60</v>
      </c>
      <c r="H92" s="43">
        <f t="shared" si="1"/>
        <v>900</v>
      </c>
      <c r="I92" s="17"/>
    </row>
    <row r="93" spans="2:9" ht="50.1" customHeight="1" x14ac:dyDescent="0.25">
      <c r="B93" s="12">
        <v>85</v>
      </c>
      <c r="C93" s="13" t="s">
        <v>67</v>
      </c>
      <c r="D93" s="14" t="s">
        <v>392</v>
      </c>
      <c r="E93" s="15" t="s">
        <v>418</v>
      </c>
      <c r="F93" s="38">
        <v>23</v>
      </c>
      <c r="G93" s="41">
        <v>120</v>
      </c>
      <c r="H93" s="43">
        <f t="shared" si="1"/>
        <v>2760</v>
      </c>
      <c r="I93" s="17"/>
    </row>
    <row r="94" spans="2:9" ht="50.1" customHeight="1" x14ac:dyDescent="0.25">
      <c r="B94" s="12">
        <v>86</v>
      </c>
      <c r="C94" s="13" t="s">
        <v>68</v>
      </c>
      <c r="D94" s="14" t="s">
        <v>392</v>
      </c>
      <c r="E94" s="15" t="s">
        <v>401</v>
      </c>
      <c r="F94" s="38">
        <v>0</v>
      </c>
      <c r="G94" s="41">
        <v>0</v>
      </c>
      <c r="H94" s="43">
        <f t="shared" si="1"/>
        <v>0</v>
      </c>
      <c r="I94" s="17"/>
    </row>
    <row r="95" spans="2:9" ht="50.1" customHeight="1" x14ac:dyDescent="0.25">
      <c r="B95" s="12">
        <v>87</v>
      </c>
      <c r="C95" s="13" t="s">
        <v>193</v>
      </c>
      <c r="D95" s="14" t="s">
        <v>392</v>
      </c>
      <c r="E95" s="15" t="s">
        <v>402</v>
      </c>
      <c r="F95" s="38">
        <v>2</v>
      </c>
      <c r="G95" s="43">
        <v>9.86</v>
      </c>
      <c r="H95" s="43">
        <f t="shared" si="1"/>
        <v>19.72</v>
      </c>
      <c r="I95" s="17"/>
    </row>
    <row r="96" spans="2:9" ht="50.1" customHeight="1" x14ac:dyDescent="0.25">
      <c r="B96" s="12">
        <v>88</v>
      </c>
      <c r="C96" s="13" t="s">
        <v>69</v>
      </c>
      <c r="D96" s="14" t="s">
        <v>392</v>
      </c>
      <c r="E96" s="15" t="s">
        <v>419</v>
      </c>
      <c r="F96" s="38">
        <v>61</v>
      </c>
      <c r="G96" s="41">
        <v>1</v>
      </c>
      <c r="H96" s="43">
        <f t="shared" si="1"/>
        <v>61</v>
      </c>
      <c r="I96" s="17"/>
    </row>
    <row r="97" spans="2:9" ht="50.1" customHeight="1" x14ac:dyDescent="0.25">
      <c r="B97" s="12">
        <v>89</v>
      </c>
      <c r="C97" s="13" t="s">
        <v>70</v>
      </c>
      <c r="D97" s="14" t="s">
        <v>392</v>
      </c>
      <c r="E97" s="15" t="s">
        <v>419</v>
      </c>
      <c r="F97" s="38">
        <v>0</v>
      </c>
      <c r="G97" s="41">
        <v>1</v>
      </c>
      <c r="H97" s="43">
        <f t="shared" si="1"/>
        <v>0</v>
      </c>
      <c r="I97" s="17"/>
    </row>
    <row r="98" spans="2:9" ht="50.1" customHeight="1" x14ac:dyDescent="0.25">
      <c r="B98" s="12">
        <v>90</v>
      </c>
      <c r="C98" s="13" t="s">
        <v>71</v>
      </c>
      <c r="D98" s="14" t="s">
        <v>392</v>
      </c>
      <c r="E98" s="15" t="s">
        <v>408</v>
      </c>
      <c r="F98" s="38">
        <v>131</v>
      </c>
      <c r="G98" s="41">
        <v>1</v>
      </c>
      <c r="H98" s="43">
        <f t="shared" si="1"/>
        <v>131</v>
      </c>
      <c r="I98" s="17"/>
    </row>
    <row r="99" spans="2:9" ht="50.1" customHeight="1" x14ac:dyDescent="0.25">
      <c r="B99" s="12">
        <v>91</v>
      </c>
      <c r="C99" s="13" t="s">
        <v>72</v>
      </c>
      <c r="D99" s="14" t="s">
        <v>392</v>
      </c>
      <c r="E99" s="15" t="s">
        <v>399</v>
      </c>
      <c r="F99" s="38">
        <v>0</v>
      </c>
      <c r="G99" s="43">
        <v>7</v>
      </c>
      <c r="H99" s="43">
        <f t="shared" si="1"/>
        <v>0</v>
      </c>
      <c r="I99" s="17"/>
    </row>
    <row r="100" spans="2:9" ht="50.1" customHeight="1" x14ac:dyDescent="0.25">
      <c r="B100" s="12">
        <v>92</v>
      </c>
      <c r="C100" s="13" t="s">
        <v>73</v>
      </c>
      <c r="D100" s="14" t="s">
        <v>392</v>
      </c>
      <c r="E100" s="15" t="s">
        <v>419</v>
      </c>
      <c r="F100" s="38">
        <v>12</v>
      </c>
      <c r="G100" s="41">
        <v>1</v>
      </c>
      <c r="H100" s="43">
        <f t="shared" si="1"/>
        <v>12</v>
      </c>
      <c r="I100" s="17"/>
    </row>
    <row r="101" spans="2:9" ht="50.1" customHeight="1" x14ac:dyDescent="0.25">
      <c r="B101" s="12">
        <v>93</v>
      </c>
      <c r="C101" s="13" t="s">
        <v>74</v>
      </c>
      <c r="D101" s="14" t="s">
        <v>392</v>
      </c>
      <c r="E101" s="15" t="s">
        <v>413</v>
      </c>
      <c r="F101" s="38">
        <v>14</v>
      </c>
      <c r="G101" s="41">
        <v>1</v>
      </c>
      <c r="H101" s="43">
        <f t="shared" si="1"/>
        <v>14</v>
      </c>
      <c r="I101" s="17"/>
    </row>
    <row r="102" spans="2:9" ht="50.1" customHeight="1" x14ac:dyDescent="0.25">
      <c r="B102" s="12">
        <v>94</v>
      </c>
      <c r="C102" s="13" t="s">
        <v>75</v>
      </c>
      <c r="D102" s="14" t="s">
        <v>392</v>
      </c>
      <c r="E102" s="15" t="s">
        <v>405</v>
      </c>
      <c r="F102" s="38">
        <v>3</v>
      </c>
      <c r="G102" s="41">
        <v>29</v>
      </c>
      <c r="H102" s="43">
        <f t="shared" si="1"/>
        <v>87</v>
      </c>
      <c r="I102" s="19"/>
    </row>
    <row r="103" spans="2:9" ht="50.1" customHeight="1" x14ac:dyDescent="0.25">
      <c r="B103" s="12">
        <v>95</v>
      </c>
      <c r="C103" s="13" t="s">
        <v>226</v>
      </c>
      <c r="D103" s="14" t="s">
        <v>392</v>
      </c>
      <c r="E103" s="15" t="s">
        <v>399</v>
      </c>
      <c r="F103" s="38">
        <v>0</v>
      </c>
      <c r="G103" s="41">
        <v>1</v>
      </c>
      <c r="H103" s="43">
        <f t="shared" si="1"/>
        <v>0</v>
      </c>
      <c r="I103" s="17"/>
    </row>
    <row r="104" spans="2:9" ht="50.1" customHeight="1" x14ac:dyDescent="0.25">
      <c r="B104" s="12">
        <v>96</v>
      </c>
      <c r="C104" s="13" t="s">
        <v>76</v>
      </c>
      <c r="D104" s="14" t="s">
        <v>392</v>
      </c>
      <c r="E104" s="15" t="s">
        <v>411</v>
      </c>
      <c r="F104" s="38">
        <v>74</v>
      </c>
      <c r="G104" s="41">
        <v>1.87</v>
      </c>
      <c r="H104" s="43">
        <f t="shared" si="1"/>
        <v>138.38</v>
      </c>
      <c r="I104" s="17"/>
    </row>
    <row r="105" spans="2:9" ht="50.1" customHeight="1" x14ac:dyDescent="0.25">
      <c r="B105" s="12">
        <v>97</v>
      </c>
      <c r="C105" s="13" t="s">
        <v>77</v>
      </c>
      <c r="D105" s="14" t="s">
        <v>392</v>
      </c>
      <c r="E105" s="15" t="s">
        <v>415</v>
      </c>
      <c r="F105" s="38">
        <v>5</v>
      </c>
      <c r="G105" s="41">
        <v>1</v>
      </c>
      <c r="H105" s="43">
        <f t="shared" si="1"/>
        <v>5</v>
      </c>
      <c r="I105" s="17"/>
    </row>
    <row r="106" spans="2:9" ht="50.1" customHeight="1" x14ac:dyDescent="0.25">
      <c r="B106" s="12">
        <v>98</v>
      </c>
      <c r="C106" s="13" t="s">
        <v>78</v>
      </c>
      <c r="D106" s="14" t="s">
        <v>392</v>
      </c>
      <c r="E106" s="15" t="s">
        <v>415</v>
      </c>
      <c r="F106" s="38">
        <v>11</v>
      </c>
      <c r="G106" s="43">
        <f>165</f>
        <v>165</v>
      </c>
      <c r="H106" s="43">
        <f t="shared" si="1"/>
        <v>1815</v>
      </c>
      <c r="I106" s="17"/>
    </row>
    <row r="107" spans="2:9" ht="50.1" customHeight="1" x14ac:dyDescent="0.25">
      <c r="B107" s="12">
        <v>99</v>
      </c>
      <c r="C107" s="13" t="s">
        <v>227</v>
      </c>
      <c r="D107" s="14" t="s">
        <v>392</v>
      </c>
      <c r="E107" s="15" t="s">
        <v>399</v>
      </c>
      <c r="F107" s="38">
        <v>0</v>
      </c>
      <c r="G107" s="41">
        <v>1</v>
      </c>
      <c r="H107" s="43">
        <f t="shared" si="1"/>
        <v>0</v>
      </c>
      <c r="I107" s="17"/>
    </row>
    <row r="108" spans="2:9" ht="50.1" customHeight="1" x14ac:dyDescent="0.25">
      <c r="B108" s="12">
        <v>100</v>
      </c>
      <c r="C108" s="13" t="s">
        <v>228</v>
      </c>
      <c r="D108" s="14" t="s">
        <v>392</v>
      </c>
      <c r="E108" s="15" t="s">
        <v>399</v>
      </c>
      <c r="F108" s="38">
        <v>0</v>
      </c>
      <c r="G108" s="41">
        <v>1</v>
      </c>
      <c r="H108" s="43">
        <f t="shared" si="1"/>
        <v>0</v>
      </c>
      <c r="I108" s="17"/>
    </row>
    <row r="109" spans="2:9" ht="50.1" customHeight="1" x14ac:dyDescent="0.25">
      <c r="B109" s="12">
        <v>101</v>
      </c>
      <c r="C109" s="13" t="s">
        <v>229</v>
      </c>
      <c r="D109" s="14" t="s">
        <v>392</v>
      </c>
      <c r="E109" s="15" t="s">
        <v>399</v>
      </c>
      <c r="F109" s="38">
        <v>0</v>
      </c>
      <c r="G109" s="41">
        <v>1</v>
      </c>
      <c r="H109" s="43">
        <f t="shared" si="1"/>
        <v>0</v>
      </c>
      <c r="I109" s="17"/>
    </row>
    <row r="110" spans="2:9" ht="50.1" customHeight="1" x14ac:dyDescent="0.25">
      <c r="B110" s="12">
        <v>102</v>
      </c>
      <c r="C110" s="13" t="s">
        <v>79</v>
      </c>
      <c r="D110" s="14" t="s">
        <v>392</v>
      </c>
      <c r="E110" s="15" t="s">
        <v>401</v>
      </c>
      <c r="F110" s="38">
        <v>2</v>
      </c>
      <c r="G110" s="41">
        <v>1</v>
      </c>
      <c r="H110" s="43">
        <f t="shared" si="1"/>
        <v>2</v>
      </c>
      <c r="I110" s="17"/>
    </row>
    <row r="111" spans="2:9" ht="50.1" customHeight="1" x14ac:dyDescent="0.25">
      <c r="B111" s="12">
        <v>103</v>
      </c>
      <c r="C111" s="13" t="s">
        <v>230</v>
      </c>
      <c r="D111" s="14" t="s">
        <v>392</v>
      </c>
      <c r="E111" s="15" t="s">
        <v>399</v>
      </c>
      <c r="F111" s="38">
        <v>0</v>
      </c>
      <c r="G111" s="41">
        <v>1</v>
      </c>
      <c r="H111" s="43">
        <f t="shared" si="1"/>
        <v>0</v>
      </c>
      <c r="I111" s="17"/>
    </row>
    <row r="112" spans="2:9" ht="50.1" customHeight="1" x14ac:dyDescent="0.25">
      <c r="B112" s="12">
        <v>104</v>
      </c>
      <c r="C112" s="13" t="s">
        <v>231</v>
      </c>
      <c r="D112" s="14" t="s">
        <v>392</v>
      </c>
      <c r="E112" s="15" t="s">
        <v>405</v>
      </c>
      <c r="F112" s="38">
        <v>115</v>
      </c>
      <c r="G112" s="41">
        <v>1</v>
      </c>
      <c r="H112" s="43">
        <f t="shared" si="1"/>
        <v>115</v>
      </c>
      <c r="I112" s="17"/>
    </row>
    <row r="113" spans="2:9" ht="50.1" customHeight="1" x14ac:dyDescent="0.25">
      <c r="B113" s="12">
        <v>105</v>
      </c>
      <c r="C113" s="13" t="s">
        <v>80</v>
      </c>
      <c r="D113" s="14" t="s">
        <v>392</v>
      </c>
      <c r="E113" s="15" t="s">
        <v>420</v>
      </c>
      <c r="F113" s="38">
        <v>6</v>
      </c>
      <c r="G113" s="41">
        <v>1</v>
      </c>
      <c r="H113" s="43">
        <f t="shared" si="1"/>
        <v>6</v>
      </c>
      <c r="I113" s="17"/>
    </row>
    <row r="114" spans="2:9" ht="50.1" customHeight="1" x14ac:dyDescent="0.25">
      <c r="B114" s="12">
        <v>106</v>
      </c>
      <c r="C114" s="13" t="s">
        <v>81</v>
      </c>
      <c r="D114" s="14" t="s">
        <v>392</v>
      </c>
      <c r="E114" s="15" t="s">
        <v>420</v>
      </c>
      <c r="F114" s="38">
        <v>1</v>
      </c>
      <c r="G114" s="41">
        <v>150</v>
      </c>
      <c r="H114" s="43">
        <f t="shared" si="1"/>
        <v>150</v>
      </c>
      <c r="I114" s="17"/>
    </row>
    <row r="115" spans="2:9" ht="50.1" customHeight="1" x14ac:dyDescent="0.25">
      <c r="B115" s="12">
        <v>107</v>
      </c>
      <c r="C115" s="13" t="s">
        <v>194</v>
      </c>
      <c r="D115" s="14" t="s">
        <v>392</v>
      </c>
      <c r="E115" s="15" t="s">
        <v>406</v>
      </c>
      <c r="F115" s="38">
        <v>110</v>
      </c>
      <c r="G115" s="43">
        <v>3.4169999999999998</v>
      </c>
      <c r="H115" s="43">
        <f t="shared" si="1"/>
        <v>375.87</v>
      </c>
      <c r="I115" s="17"/>
    </row>
    <row r="116" spans="2:9" ht="50.1" customHeight="1" x14ac:dyDescent="0.25">
      <c r="B116" s="12">
        <v>108</v>
      </c>
      <c r="C116" s="13" t="s">
        <v>82</v>
      </c>
      <c r="D116" s="14" t="s">
        <v>392</v>
      </c>
      <c r="E116" s="15" t="s">
        <v>413</v>
      </c>
      <c r="F116" s="38">
        <v>2</v>
      </c>
      <c r="G116" s="41">
        <v>1</v>
      </c>
      <c r="H116" s="43">
        <f t="shared" si="1"/>
        <v>2</v>
      </c>
      <c r="I116" s="16"/>
    </row>
    <row r="117" spans="2:9" ht="50.1" customHeight="1" x14ac:dyDescent="0.25">
      <c r="B117" s="12">
        <v>109</v>
      </c>
      <c r="C117" s="13" t="s">
        <v>83</v>
      </c>
      <c r="D117" s="14" t="s">
        <v>392</v>
      </c>
      <c r="E117" s="15" t="s">
        <v>421</v>
      </c>
      <c r="F117" s="38">
        <v>3</v>
      </c>
      <c r="G117" s="41">
        <v>1</v>
      </c>
      <c r="H117" s="43">
        <f t="shared" si="1"/>
        <v>3</v>
      </c>
      <c r="I117" s="17"/>
    </row>
    <row r="118" spans="2:9" ht="50.1" customHeight="1" x14ac:dyDescent="0.25">
      <c r="B118" s="12">
        <v>110</v>
      </c>
      <c r="C118" s="13" t="s">
        <v>84</v>
      </c>
      <c r="D118" s="14" t="s">
        <v>392</v>
      </c>
      <c r="E118" s="15" t="s">
        <v>421</v>
      </c>
      <c r="F118" s="38">
        <v>3</v>
      </c>
      <c r="G118" s="41">
        <v>1</v>
      </c>
      <c r="H118" s="43">
        <f t="shared" si="1"/>
        <v>3</v>
      </c>
      <c r="I118" s="17"/>
    </row>
    <row r="119" spans="2:9" ht="50.1" customHeight="1" x14ac:dyDescent="0.25">
      <c r="B119" s="12">
        <v>111</v>
      </c>
      <c r="C119" s="13" t="s">
        <v>232</v>
      </c>
      <c r="D119" s="14" t="s">
        <v>392</v>
      </c>
      <c r="E119" s="15" t="s">
        <v>399</v>
      </c>
      <c r="F119" s="38">
        <v>0</v>
      </c>
      <c r="G119" s="41">
        <v>9.5</v>
      </c>
      <c r="H119" s="43">
        <f t="shared" si="1"/>
        <v>0</v>
      </c>
      <c r="I119" s="17"/>
    </row>
    <row r="120" spans="2:9" ht="50.1" customHeight="1" x14ac:dyDescent="0.25">
      <c r="B120" s="12">
        <v>112</v>
      </c>
      <c r="C120" s="13" t="s">
        <v>85</v>
      </c>
      <c r="D120" s="14" t="s">
        <v>392</v>
      </c>
      <c r="E120" s="15" t="s">
        <v>422</v>
      </c>
      <c r="F120" s="38">
        <v>3</v>
      </c>
      <c r="G120" s="41">
        <v>1</v>
      </c>
      <c r="H120" s="43">
        <f t="shared" si="1"/>
        <v>3</v>
      </c>
      <c r="I120" s="18"/>
    </row>
    <row r="121" spans="2:9" ht="50.1" customHeight="1" x14ac:dyDescent="0.25">
      <c r="B121" s="12">
        <v>113</v>
      </c>
      <c r="C121" s="13" t="s">
        <v>86</v>
      </c>
      <c r="D121" s="14" t="s">
        <v>392</v>
      </c>
      <c r="E121" s="15" t="s">
        <v>421</v>
      </c>
      <c r="F121" s="38">
        <v>3</v>
      </c>
      <c r="G121" s="43">
        <v>1270.4000000000001</v>
      </c>
      <c r="H121" s="43">
        <f t="shared" si="1"/>
        <v>3811.2000000000003</v>
      </c>
      <c r="I121" s="17"/>
    </row>
    <row r="122" spans="2:9" ht="50.1" customHeight="1" x14ac:dyDescent="0.25">
      <c r="B122" s="12">
        <v>114</v>
      </c>
      <c r="C122" s="13" t="s">
        <v>87</v>
      </c>
      <c r="D122" s="14" t="s">
        <v>396</v>
      </c>
      <c r="E122" s="15" t="s">
        <v>406</v>
      </c>
      <c r="F122" s="38">
        <v>71</v>
      </c>
      <c r="G122" s="43">
        <v>1.0029999999999999</v>
      </c>
      <c r="H122" s="43">
        <f t="shared" si="1"/>
        <v>71.212999999999994</v>
      </c>
      <c r="I122" s="17"/>
    </row>
    <row r="123" spans="2:9" ht="50.1" customHeight="1" x14ac:dyDescent="0.25">
      <c r="B123" s="12">
        <v>115</v>
      </c>
      <c r="C123" s="20" t="s">
        <v>195</v>
      </c>
      <c r="D123" s="14" t="s">
        <v>392</v>
      </c>
      <c r="E123" s="15" t="s">
        <v>408</v>
      </c>
      <c r="F123" s="38">
        <v>1044</v>
      </c>
      <c r="G123" s="41">
        <v>1.8</v>
      </c>
      <c r="H123" s="43">
        <f t="shared" si="1"/>
        <v>1879.2</v>
      </c>
      <c r="I123" s="17"/>
    </row>
    <row r="124" spans="2:9" ht="50.1" customHeight="1" x14ac:dyDescent="0.25">
      <c r="B124" s="12">
        <v>116</v>
      </c>
      <c r="C124" s="13" t="s">
        <v>88</v>
      </c>
      <c r="D124" s="14" t="s">
        <v>392</v>
      </c>
      <c r="E124" s="15" t="s">
        <v>406</v>
      </c>
      <c r="F124" s="38">
        <v>100</v>
      </c>
      <c r="G124" s="43">
        <f>138/100</f>
        <v>1.38</v>
      </c>
      <c r="H124" s="43">
        <f t="shared" si="1"/>
        <v>138</v>
      </c>
      <c r="I124" s="17"/>
    </row>
    <row r="125" spans="2:9" ht="50.1" customHeight="1" x14ac:dyDescent="0.25">
      <c r="B125" s="12">
        <v>117</v>
      </c>
      <c r="C125" s="13" t="s">
        <v>89</v>
      </c>
      <c r="D125" s="14" t="s">
        <v>392</v>
      </c>
      <c r="E125" s="15" t="s">
        <v>419</v>
      </c>
      <c r="F125" s="38">
        <v>9</v>
      </c>
      <c r="G125" s="41">
        <v>1</v>
      </c>
      <c r="H125" s="43">
        <f t="shared" si="1"/>
        <v>9</v>
      </c>
      <c r="I125" s="17"/>
    </row>
    <row r="126" spans="2:9" ht="50.1" customHeight="1" x14ac:dyDescent="0.25">
      <c r="B126" s="12">
        <v>118</v>
      </c>
      <c r="C126" s="21" t="s">
        <v>196</v>
      </c>
      <c r="D126" s="14" t="s">
        <v>392</v>
      </c>
      <c r="E126" s="15" t="s">
        <v>419</v>
      </c>
      <c r="F126" s="38">
        <v>12</v>
      </c>
      <c r="G126" s="43">
        <v>4.07</v>
      </c>
      <c r="H126" s="43">
        <f t="shared" si="1"/>
        <v>48.84</v>
      </c>
      <c r="I126" s="18"/>
    </row>
    <row r="127" spans="2:9" ht="50.1" customHeight="1" x14ac:dyDescent="0.25">
      <c r="B127" s="12">
        <v>119</v>
      </c>
      <c r="C127" s="13" t="s">
        <v>90</v>
      </c>
      <c r="D127" s="14" t="s">
        <v>392</v>
      </c>
      <c r="E127" s="15" t="s">
        <v>401</v>
      </c>
      <c r="F127" s="38">
        <v>0</v>
      </c>
      <c r="G127" s="41">
        <v>85</v>
      </c>
      <c r="H127" s="43">
        <f t="shared" si="1"/>
        <v>0</v>
      </c>
      <c r="I127" s="17"/>
    </row>
    <row r="128" spans="2:9" ht="50.1" customHeight="1" x14ac:dyDescent="0.25">
      <c r="B128" s="12">
        <v>120</v>
      </c>
      <c r="C128" s="13" t="s">
        <v>91</v>
      </c>
      <c r="D128" s="14" t="s">
        <v>392</v>
      </c>
      <c r="E128" s="15" t="s">
        <v>409</v>
      </c>
      <c r="F128" s="38">
        <v>28</v>
      </c>
      <c r="G128" s="41">
        <v>1</v>
      </c>
      <c r="H128" s="43">
        <f t="shared" si="1"/>
        <v>28</v>
      </c>
      <c r="I128" s="17"/>
    </row>
    <row r="129" spans="1:9" ht="50.1" customHeight="1" x14ac:dyDescent="0.25">
      <c r="B129" s="12">
        <v>121</v>
      </c>
      <c r="C129" s="13" t="s">
        <v>233</v>
      </c>
      <c r="D129" s="14" t="s">
        <v>392</v>
      </c>
      <c r="E129" s="15" t="s">
        <v>404</v>
      </c>
      <c r="F129" s="38">
        <v>36</v>
      </c>
      <c r="G129" s="41">
        <v>1</v>
      </c>
      <c r="H129" s="43">
        <f t="shared" si="1"/>
        <v>36</v>
      </c>
      <c r="I129" s="17"/>
    </row>
    <row r="130" spans="1:9" ht="50.1" customHeight="1" x14ac:dyDescent="0.25">
      <c r="B130" s="12">
        <v>122</v>
      </c>
      <c r="C130" s="13" t="s">
        <v>92</v>
      </c>
      <c r="D130" s="14" t="s">
        <v>392</v>
      </c>
      <c r="E130" s="15" t="s">
        <v>404</v>
      </c>
      <c r="F130" s="38">
        <v>3</v>
      </c>
      <c r="G130" s="42">
        <v>95.7</v>
      </c>
      <c r="H130" s="43">
        <f t="shared" si="1"/>
        <v>287.10000000000002</v>
      </c>
      <c r="I130" s="17"/>
    </row>
    <row r="131" spans="1:9" ht="50.1" customHeight="1" x14ac:dyDescent="0.25">
      <c r="B131" s="12">
        <v>123</v>
      </c>
      <c r="C131" s="13" t="s">
        <v>93</v>
      </c>
      <c r="D131" s="14" t="s">
        <v>392</v>
      </c>
      <c r="E131" s="15" t="s">
        <v>404</v>
      </c>
      <c r="F131" s="38">
        <v>0</v>
      </c>
      <c r="G131" s="41">
        <v>1</v>
      </c>
      <c r="H131" s="43">
        <f t="shared" si="1"/>
        <v>0</v>
      </c>
      <c r="I131" s="17"/>
    </row>
    <row r="132" spans="1:9" ht="50.1" customHeight="1" x14ac:dyDescent="0.25">
      <c r="B132" s="12">
        <v>124</v>
      </c>
      <c r="C132" s="13" t="s">
        <v>94</v>
      </c>
      <c r="D132" s="14" t="s">
        <v>392</v>
      </c>
      <c r="E132" s="15" t="s">
        <v>413</v>
      </c>
      <c r="F132" s="38">
        <v>10</v>
      </c>
      <c r="G132" s="41"/>
      <c r="H132" s="43">
        <f t="shared" si="1"/>
        <v>0</v>
      </c>
      <c r="I132" s="17"/>
    </row>
    <row r="133" spans="1:9" ht="50.1" customHeight="1" x14ac:dyDescent="0.25">
      <c r="B133" s="12">
        <v>125</v>
      </c>
      <c r="C133" s="13" t="s">
        <v>95</v>
      </c>
      <c r="D133" s="14" t="s">
        <v>392</v>
      </c>
      <c r="E133" s="15" t="s">
        <v>409</v>
      </c>
      <c r="F133" s="38">
        <v>5</v>
      </c>
      <c r="G133" s="41">
        <v>85</v>
      </c>
      <c r="H133" s="43">
        <f t="shared" si="1"/>
        <v>425</v>
      </c>
      <c r="I133" s="17"/>
    </row>
    <row r="134" spans="1:9" ht="50.1" customHeight="1" x14ac:dyDescent="0.25">
      <c r="B134" s="12">
        <v>126</v>
      </c>
      <c r="C134" s="13" t="s">
        <v>96</v>
      </c>
      <c r="D134" s="14" t="s">
        <v>392</v>
      </c>
      <c r="E134" s="15" t="s">
        <v>423</v>
      </c>
      <c r="F134" s="38">
        <v>6</v>
      </c>
      <c r="G134" s="41">
        <v>1</v>
      </c>
      <c r="H134" s="43">
        <f t="shared" si="1"/>
        <v>6</v>
      </c>
      <c r="I134" s="17"/>
    </row>
    <row r="135" spans="1:9" ht="50.1" customHeight="1" x14ac:dyDescent="0.25">
      <c r="A135" t="s">
        <v>208</v>
      </c>
      <c r="B135" s="12">
        <v>127</v>
      </c>
      <c r="C135" s="13" t="s">
        <v>97</v>
      </c>
      <c r="D135" s="14" t="s">
        <v>392</v>
      </c>
      <c r="E135" s="15" t="s">
        <v>423</v>
      </c>
      <c r="F135" s="38">
        <v>7</v>
      </c>
      <c r="G135" s="41">
        <v>1</v>
      </c>
      <c r="H135" s="43">
        <f t="shared" si="1"/>
        <v>7</v>
      </c>
      <c r="I135" s="17"/>
    </row>
    <row r="136" spans="1:9" ht="50.1" customHeight="1" x14ac:dyDescent="0.25">
      <c r="B136" s="12">
        <v>128</v>
      </c>
      <c r="C136" s="13" t="s">
        <v>98</v>
      </c>
      <c r="D136" s="14" t="s">
        <v>392</v>
      </c>
      <c r="E136" s="15" t="s">
        <v>423</v>
      </c>
      <c r="F136" s="38">
        <v>40</v>
      </c>
      <c r="G136" s="41">
        <v>1</v>
      </c>
      <c r="H136" s="43">
        <f t="shared" si="1"/>
        <v>40</v>
      </c>
      <c r="I136" s="17"/>
    </row>
    <row r="137" spans="1:9" ht="50.1" customHeight="1" x14ac:dyDescent="0.25">
      <c r="B137" s="12">
        <v>129</v>
      </c>
      <c r="C137" s="13" t="s">
        <v>99</v>
      </c>
      <c r="D137" s="14" t="s">
        <v>392</v>
      </c>
      <c r="E137" s="15" t="s">
        <v>413</v>
      </c>
      <c r="F137" s="38">
        <v>4</v>
      </c>
      <c r="G137" s="41">
        <v>1</v>
      </c>
      <c r="H137" s="43">
        <f t="shared" si="1"/>
        <v>4</v>
      </c>
      <c r="I137" s="17"/>
    </row>
    <row r="138" spans="1:9" ht="50.1" customHeight="1" x14ac:dyDescent="0.25">
      <c r="B138" s="12">
        <v>130</v>
      </c>
      <c r="C138" s="13" t="s">
        <v>234</v>
      </c>
      <c r="D138" s="14" t="s">
        <v>392</v>
      </c>
      <c r="E138" s="15" t="s">
        <v>419</v>
      </c>
      <c r="F138" s="38">
        <v>237</v>
      </c>
      <c r="G138" s="29">
        <f>4.22/12</f>
        <v>0.35166666666666663</v>
      </c>
      <c r="H138" s="43">
        <f t="shared" ref="H138:H201" si="2">F138*G138</f>
        <v>83.344999999999985</v>
      </c>
      <c r="I138" s="17"/>
    </row>
    <row r="139" spans="1:9" ht="50.1" customHeight="1" x14ac:dyDescent="0.25">
      <c r="B139" s="12">
        <v>131</v>
      </c>
      <c r="C139" s="13" t="s">
        <v>235</v>
      </c>
      <c r="D139" s="14" t="s">
        <v>392</v>
      </c>
      <c r="E139" s="15" t="s">
        <v>419</v>
      </c>
      <c r="F139" s="38">
        <v>237</v>
      </c>
      <c r="G139" s="29">
        <f>4/12</f>
        <v>0.33333333333333331</v>
      </c>
      <c r="H139" s="43">
        <f t="shared" si="2"/>
        <v>79</v>
      </c>
      <c r="I139" s="17"/>
    </row>
    <row r="140" spans="1:9" ht="50.1" customHeight="1" x14ac:dyDescent="0.25">
      <c r="B140" s="12">
        <v>132</v>
      </c>
      <c r="C140" s="13" t="s">
        <v>100</v>
      </c>
      <c r="D140" s="14" t="s">
        <v>392</v>
      </c>
      <c r="E140" s="15" t="s">
        <v>419</v>
      </c>
      <c r="F140" s="38">
        <v>68</v>
      </c>
      <c r="G140" s="29">
        <f>4/12</f>
        <v>0.33333333333333331</v>
      </c>
      <c r="H140" s="43">
        <f t="shared" si="2"/>
        <v>22.666666666666664</v>
      </c>
      <c r="I140" s="17"/>
    </row>
    <row r="141" spans="1:9" ht="50.1" customHeight="1" x14ac:dyDescent="0.25">
      <c r="B141" s="12">
        <v>133</v>
      </c>
      <c r="C141" s="13" t="s">
        <v>101</v>
      </c>
      <c r="D141" s="14" t="s">
        <v>392</v>
      </c>
      <c r="E141" s="15" t="s">
        <v>419</v>
      </c>
      <c r="F141" s="38">
        <v>2418</v>
      </c>
      <c r="G141" s="41">
        <v>0.24366666666666667</v>
      </c>
      <c r="H141" s="43">
        <f t="shared" si="2"/>
        <v>589.18600000000004</v>
      </c>
      <c r="I141" s="18"/>
    </row>
    <row r="142" spans="1:9" ht="50.1" customHeight="1" x14ac:dyDescent="0.25">
      <c r="B142" s="12">
        <v>134</v>
      </c>
      <c r="C142" s="13" t="s">
        <v>102</v>
      </c>
      <c r="D142" s="14" t="s">
        <v>392</v>
      </c>
      <c r="E142" s="15" t="s">
        <v>419</v>
      </c>
      <c r="F142" s="38">
        <v>2666</v>
      </c>
      <c r="G142" s="43">
        <f>3.383/12</f>
        <v>0.28191666666666665</v>
      </c>
      <c r="H142" s="43">
        <f t="shared" si="2"/>
        <v>751.58983333333333</v>
      </c>
      <c r="I142" s="22"/>
    </row>
    <row r="143" spans="1:9" ht="50.1" customHeight="1" x14ac:dyDescent="0.25">
      <c r="B143" s="12">
        <v>135</v>
      </c>
      <c r="C143" s="13" t="s">
        <v>103</v>
      </c>
      <c r="D143" s="14" t="s">
        <v>392</v>
      </c>
      <c r="E143" s="15" t="s">
        <v>419</v>
      </c>
      <c r="F143" s="38">
        <v>108</v>
      </c>
      <c r="G143" s="41"/>
      <c r="H143" s="43">
        <f t="shared" si="2"/>
        <v>0</v>
      </c>
      <c r="I143" s="23"/>
    </row>
    <row r="144" spans="1:9" ht="50.1" customHeight="1" x14ac:dyDescent="0.25">
      <c r="B144" s="12">
        <v>136</v>
      </c>
      <c r="C144" s="13" t="s">
        <v>104</v>
      </c>
      <c r="D144" s="14" t="s">
        <v>392</v>
      </c>
      <c r="E144" s="15" t="s">
        <v>418</v>
      </c>
      <c r="F144" s="38">
        <v>9</v>
      </c>
      <c r="G144" s="41"/>
      <c r="H144" s="43">
        <f t="shared" si="2"/>
        <v>0</v>
      </c>
      <c r="I144" s="17"/>
    </row>
    <row r="145" spans="2:9" ht="50.1" customHeight="1" x14ac:dyDescent="0.25">
      <c r="B145" s="12">
        <v>137</v>
      </c>
      <c r="C145" s="13" t="s">
        <v>105</v>
      </c>
      <c r="D145" s="14" t="s">
        <v>392</v>
      </c>
      <c r="E145" s="15" t="s">
        <v>401</v>
      </c>
      <c r="F145" s="38">
        <v>0</v>
      </c>
      <c r="G145" s="41">
        <v>198</v>
      </c>
      <c r="H145" s="43">
        <f t="shared" si="2"/>
        <v>0</v>
      </c>
      <c r="I145" s="17"/>
    </row>
    <row r="146" spans="2:9" ht="50.1" customHeight="1" x14ac:dyDescent="0.25">
      <c r="B146" s="12">
        <v>138</v>
      </c>
      <c r="C146" s="13" t="s">
        <v>106</v>
      </c>
      <c r="D146" s="14" t="s">
        <v>392</v>
      </c>
      <c r="E146" s="15" t="s">
        <v>401</v>
      </c>
      <c r="F146" s="38">
        <v>0</v>
      </c>
      <c r="G146" s="41"/>
      <c r="H146" s="43">
        <f t="shared" si="2"/>
        <v>0</v>
      </c>
      <c r="I146" s="17"/>
    </row>
    <row r="147" spans="2:9" ht="50.1" customHeight="1" x14ac:dyDescent="0.25">
      <c r="B147" s="12">
        <v>139</v>
      </c>
      <c r="C147" s="13" t="s">
        <v>107</v>
      </c>
      <c r="D147" s="14" t="s">
        <v>392</v>
      </c>
      <c r="E147" s="15" t="s">
        <v>401</v>
      </c>
      <c r="F147" s="38">
        <v>1</v>
      </c>
      <c r="G147" s="41">
        <v>110</v>
      </c>
      <c r="H147" s="43">
        <f t="shared" si="2"/>
        <v>110</v>
      </c>
      <c r="I147" s="17"/>
    </row>
    <row r="148" spans="2:9" ht="50.1" customHeight="1" x14ac:dyDescent="0.25">
      <c r="B148" s="12">
        <v>140</v>
      </c>
      <c r="C148" s="13" t="s">
        <v>108</v>
      </c>
      <c r="D148" s="14" t="s">
        <v>392</v>
      </c>
      <c r="E148" s="15" t="s">
        <v>418</v>
      </c>
      <c r="F148" s="38">
        <v>855</v>
      </c>
      <c r="G148" s="41">
        <v>51</v>
      </c>
      <c r="H148" s="43">
        <f t="shared" si="2"/>
        <v>43605</v>
      </c>
      <c r="I148" s="17"/>
    </row>
    <row r="149" spans="2:9" ht="50.1" customHeight="1" x14ac:dyDescent="0.25">
      <c r="B149" s="12">
        <v>141</v>
      </c>
      <c r="C149" s="24" t="s">
        <v>236</v>
      </c>
      <c r="D149" s="14" t="s">
        <v>392</v>
      </c>
      <c r="E149" s="15" t="s">
        <v>418</v>
      </c>
      <c r="F149" s="38">
        <v>62</v>
      </c>
      <c r="G149" s="41">
        <v>150</v>
      </c>
      <c r="H149" s="43">
        <f t="shared" si="2"/>
        <v>9300</v>
      </c>
      <c r="I149" s="17"/>
    </row>
    <row r="150" spans="2:9" ht="50.1" customHeight="1" x14ac:dyDescent="0.25">
      <c r="B150" s="12">
        <v>142</v>
      </c>
      <c r="C150" s="13" t="s">
        <v>109</v>
      </c>
      <c r="D150" s="14" t="s">
        <v>392</v>
      </c>
      <c r="E150" s="15" t="s">
        <v>401</v>
      </c>
      <c r="F150" s="38">
        <v>13</v>
      </c>
      <c r="G150" s="41">
        <v>1</v>
      </c>
      <c r="H150" s="43">
        <f t="shared" si="2"/>
        <v>13</v>
      </c>
      <c r="I150" s="17"/>
    </row>
    <row r="151" spans="2:9" ht="50.1" customHeight="1" x14ac:dyDescent="0.25">
      <c r="B151" s="12">
        <v>143</v>
      </c>
      <c r="C151" s="13" t="s">
        <v>110</v>
      </c>
      <c r="D151" s="14" t="s">
        <v>392</v>
      </c>
      <c r="E151" s="15" t="s">
        <v>418</v>
      </c>
      <c r="F151" s="38">
        <v>3</v>
      </c>
      <c r="G151" s="41">
        <v>1</v>
      </c>
      <c r="H151" s="43">
        <f t="shared" si="2"/>
        <v>3</v>
      </c>
      <c r="I151" s="17"/>
    </row>
    <row r="152" spans="2:9" ht="50.1" customHeight="1" x14ac:dyDescent="0.25">
      <c r="B152" s="12">
        <v>144</v>
      </c>
      <c r="C152" s="13" t="s">
        <v>111</v>
      </c>
      <c r="D152" s="14" t="s">
        <v>392</v>
      </c>
      <c r="E152" s="15" t="s">
        <v>404</v>
      </c>
      <c r="F152" s="38">
        <v>200</v>
      </c>
      <c r="G152" s="42">
        <v>0.6</v>
      </c>
      <c r="H152" s="43">
        <f t="shared" si="2"/>
        <v>120</v>
      </c>
      <c r="I152" s="17"/>
    </row>
    <row r="153" spans="2:9" ht="50.1" customHeight="1" x14ac:dyDescent="0.25">
      <c r="B153" s="12">
        <v>145</v>
      </c>
      <c r="C153" s="13" t="s">
        <v>112</v>
      </c>
      <c r="D153" s="14" t="s">
        <v>392</v>
      </c>
      <c r="E153" s="15" t="s">
        <v>401</v>
      </c>
      <c r="F153" s="38">
        <v>1</v>
      </c>
      <c r="G153" s="41">
        <v>1</v>
      </c>
      <c r="H153" s="43">
        <f t="shared" si="2"/>
        <v>1</v>
      </c>
      <c r="I153" s="17"/>
    </row>
    <row r="154" spans="2:9" ht="50.1" customHeight="1" x14ac:dyDescent="0.25">
      <c r="B154" s="12">
        <v>146</v>
      </c>
      <c r="C154" s="13" t="s">
        <v>113</v>
      </c>
      <c r="D154" s="14" t="s">
        <v>392</v>
      </c>
      <c r="E154" s="15" t="s">
        <v>411</v>
      </c>
      <c r="F154" s="38">
        <v>36</v>
      </c>
      <c r="G154" s="41">
        <v>26</v>
      </c>
      <c r="H154" s="43">
        <f t="shared" si="2"/>
        <v>936</v>
      </c>
      <c r="I154" s="17"/>
    </row>
    <row r="155" spans="2:9" ht="50.1" customHeight="1" x14ac:dyDescent="0.25">
      <c r="B155" s="12">
        <v>147</v>
      </c>
      <c r="C155" s="13" t="s">
        <v>237</v>
      </c>
      <c r="D155" s="14" t="s">
        <v>392</v>
      </c>
      <c r="E155" s="15" t="s">
        <v>399</v>
      </c>
      <c r="F155" s="38">
        <v>0</v>
      </c>
      <c r="G155" s="41">
        <v>1</v>
      </c>
      <c r="H155" s="43">
        <f t="shared" si="2"/>
        <v>0</v>
      </c>
      <c r="I155" s="17"/>
    </row>
    <row r="156" spans="2:9" ht="50.1" customHeight="1" x14ac:dyDescent="0.25">
      <c r="B156" s="12">
        <v>148</v>
      </c>
      <c r="C156" s="13" t="s">
        <v>114</v>
      </c>
      <c r="D156" s="14" t="s">
        <v>392</v>
      </c>
      <c r="E156" s="15" t="s">
        <v>424</v>
      </c>
      <c r="F156" s="38">
        <v>9</v>
      </c>
      <c r="G156" s="41">
        <v>24</v>
      </c>
      <c r="H156" s="43">
        <f t="shared" si="2"/>
        <v>216</v>
      </c>
      <c r="I156" s="17"/>
    </row>
    <row r="157" spans="2:9" ht="50.1" customHeight="1" x14ac:dyDescent="0.25">
      <c r="B157" s="12">
        <v>149</v>
      </c>
      <c r="C157" s="13" t="s">
        <v>115</v>
      </c>
      <c r="D157" s="14" t="s">
        <v>392</v>
      </c>
      <c r="E157" s="15" t="s">
        <v>424</v>
      </c>
      <c r="F157" s="38">
        <v>1</v>
      </c>
      <c r="G157" s="41">
        <v>95</v>
      </c>
      <c r="H157" s="43">
        <f t="shared" si="2"/>
        <v>95</v>
      </c>
      <c r="I157" s="17"/>
    </row>
    <row r="158" spans="2:9" ht="50.1" customHeight="1" x14ac:dyDescent="0.25">
      <c r="B158" s="12">
        <v>150</v>
      </c>
      <c r="C158" s="13" t="s">
        <v>116</v>
      </c>
      <c r="D158" s="14" t="s">
        <v>392</v>
      </c>
      <c r="E158" s="15" t="s">
        <v>424</v>
      </c>
      <c r="F158" s="38">
        <v>9</v>
      </c>
      <c r="G158" s="41">
        <v>1</v>
      </c>
      <c r="H158" s="43">
        <f t="shared" si="2"/>
        <v>9</v>
      </c>
      <c r="I158" s="17"/>
    </row>
    <row r="159" spans="2:9" ht="50.1" customHeight="1" x14ac:dyDescent="0.25">
      <c r="B159" s="12">
        <v>151</v>
      </c>
      <c r="C159" s="13" t="s">
        <v>117</v>
      </c>
      <c r="D159" s="14" t="s">
        <v>392</v>
      </c>
      <c r="E159" s="15" t="s">
        <v>409</v>
      </c>
      <c r="F159" s="38">
        <v>63</v>
      </c>
      <c r="G159" s="41">
        <v>1</v>
      </c>
      <c r="H159" s="43">
        <f t="shared" si="2"/>
        <v>63</v>
      </c>
      <c r="I159" s="17"/>
    </row>
    <row r="160" spans="2:9" ht="50.1" customHeight="1" x14ac:dyDescent="0.25">
      <c r="B160" s="12">
        <v>152</v>
      </c>
      <c r="C160" s="13" t="s">
        <v>238</v>
      </c>
      <c r="D160" s="14" t="s">
        <v>392</v>
      </c>
      <c r="E160" s="15" t="s">
        <v>411</v>
      </c>
      <c r="F160" s="38">
        <v>31</v>
      </c>
      <c r="G160" s="43">
        <v>1.3</v>
      </c>
      <c r="H160" s="43">
        <f t="shared" si="2"/>
        <v>40.300000000000004</v>
      </c>
      <c r="I160" s="17"/>
    </row>
    <row r="161" spans="2:9" ht="50.1" customHeight="1" x14ac:dyDescent="0.25">
      <c r="B161" s="12">
        <v>153</v>
      </c>
      <c r="C161" s="13" t="s">
        <v>118</v>
      </c>
      <c r="D161" s="14" t="s">
        <v>392</v>
      </c>
      <c r="E161" s="15" t="s">
        <v>415</v>
      </c>
      <c r="F161" s="38">
        <v>2</v>
      </c>
      <c r="G161" s="41">
        <v>1</v>
      </c>
      <c r="H161" s="43">
        <f t="shared" si="2"/>
        <v>2</v>
      </c>
      <c r="I161" s="17"/>
    </row>
    <row r="162" spans="2:9" ht="50.1" customHeight="1" x14ac:dyDescent="0.25">
      <c r="B162" s="12">
        <v>154</v>
      </c>
      <c r="C162" s="13" t="s">
        <v>119</v>
      </c>
      <c r="D162" s="14" t="s">
        <v>392</v>
      </c>
      <c r="E162" s="15" t="s">
        <v>415</v>
      </c>
      <c r="F162" s="38">
        <v>12</v>
      </c>
      <c r="G162" s="41">
        <v>1</v>
      </c>
      <c r="H162" s="43">
        <f t="shared" si="2"/>
        <v>12</v>
      </c>
      <c r="I162" s="17"/>
    </row>
    <row r="163" spans="2:9" ht="50.1" customHeight="1" x14ac:dyDescent="0.25">
      <c r="B163" s="12">
        <v>155</v>
      </c>
      <c r="C163" s="13" t="s">
        <v>197</v>
      </c>
      <c r="D163" s="14" t="s">
        <v>392</v>
      </c>
      <c r="E163" s="15" t="s">
        <v>408</v>
      </c>
      <c r="F163" s="38">
        <v>231</v>
      </c>
      <c r="G163" s="43">
        <f>16/12</f>
        <v>1.3333333333333333</v>
      </c>
      <c r="H163" s="43">
        <f t="shared" si="2"/>
        <v>308</v>
      </c>
      <c r="I163" s="17"/>
    </row>
    <row r="164" spans="2:9" ht="50.1" customHeight="1" x14ac:dyDescent="0.25">
      <c r="B164" s="12">
        <v>156</v>
      </c>
      <c r="C164" s="13" t="s">
        <v>198</v>
      </c>
      <c r="D164" s="14" t="s">
        <v>392</v>
      </c>
      <c r="E164" s="15" t="s">
        <v>408</v>
      </c>
      <c r="F164" s="38">
        <v>20</v>
      </c>
      <c r="G164" s="41">
        <v>1</v>
      </c>
      <c r="H164" s="43">
        <f t="shared" si="2"/>
        <v>20</v>
      </c>
      <c r="I164" s="17"/>
    </row>
    <row r="165" spans="2:9" ht="50.1" customHeight="1" x14ac:dyDescent="0.25">
      <c r="B165" s="12">
        <v>157</v>
      </c>
      <c r="C165" s="13" t="s">
        <v>120</v>
      </c>
      <c r="D165" s="14" t="s">
        <v>392</v>
      </c>
      <c r="E165" s="15" t="s">
        <v>406</v>
      </c>
      <c r="F165" s="38">
        <v>195</v>
      </c>
      <c r="G165" s="41">
        <v>1</v>
      </c>
      <c r="H165" s="43">
        <f t="shared" si="2"/>
        <v>195</v>
      </c>
      <c r="I165" s="17"/>
    </row>
    <row r="166" spans="2:9" ht="50.1" customHeight="1" x14ac:dyDescent="0.25">
      <c r="B166" s="12">
        <v>158</v>
      </c>
      <c r="C166" s="13" t="s">
        <v>121</v>
      </c>
      <c r="D166" s="14" t="s">
        <v>392</v>
      </c>
      <c r="E166" s="15" t="s">
        <v>411</v>
      </c>
      <c r="F166" s="38">
        <v>66</v>
      </c>
      <c r="G166" s="41">
        <v>5</v>
      </c>
      <c r="H166" s="43">
        <f t="shared" si="2"/>
        <v>330</v>
      </c>
      <c r="I166" s="17"/>
    </row>
    <row r="167" spans="2:9" ht="50.1" customHeight="1" x14ac:dyDescent="0.25">
      <c r="B167" s="12">
        <v>159</v>
      </c>
      <c r="C167" s="13" t="s">
        <v>122</v>
      </c>
      <c r="D167" s="14" t="s">
        <v>392</v>
      </c>
      <c r="E167" s="15" t="s">
        <v>411</v>
      </c>
      <c r="F167" s="38">
        <v>42</v>
      </c>
      <c r="G167" s="41">
        <v>12.39</v>
      </c>
      <c r="H167" s="43">
        <f t="shared" si="2"/>
        <v>520.38</v>
      </c>
      <c r="I167" s="17"/>
    </row>
    <row r="168" spans="2:9" ht="50.1" customHeight="1" x14ac:dyDescent="0.25">
      <c r="B168" s="12">
        <v>160</v>
      </c>
      <c r="C168" s="13" t="s">
        <v>123</v>
      </c>
      <c r="D168" s="14" t="s">
        <v>392</v>
      </c>
      <c r="E168" s="15" t="s">
        <v>411</v>
      </c>
      <c r="F168" s="38">
        <v>96</v>
      </c>
      <c r="G168" s="41">
        <v>9.98</v>
      </c>
      <c r="H168" s="43">
        <f t="shared" si="2"/>
        <v>958.08</v>
      </c>
      <c r="I168" s="17"/>
    </row>
    <row r="169" spans="2:9" ht="50.1" customHeight="1" x14ac:dyDescent="0.25">
      <c r="B169" s="12">
        <v>161</v>
      </c>
      <c r="C169" s="13" t="s">
        <v>124</v>
      </c>
      <c r="D169" s="14" t="s">
        <v>392</v>
      </c>
      <c r="E169" s="15" t="s">
        <v>411</v>
      </c>
      <c r="F169" s="38">
        <v>20</v>
      </c>
      <c r="G169" s="43">
        <v>25</v>
      </c>
      <c r="H169" s="43">
        <f t="shared" si="2"/>
        <v>500</v>
      </c>
      <c r="I169" s="17"/>
    </row>
    <row r="170" spans="2:9" ht="50.1" customHeight="1" x14ac:dyDescent="0.25">
      <c r="B170" s="12">
        <v>162</v>
      </c>
      <c r="C170" s="13" t="s">
        <v>239</v>
      </c>
      <c r="D170" s="14" t="s">
        <v>392</v>
      </c>
      <c r="E170" s="15" t="s">
        <v>399</v>
      </c>
      <c r="F170" s="38">
        <v>0</v>
      </c>
      <c r="G170" s="41">
        <v>1</v>
      </c>
      <c r="H170" s="43">
        <f t="shared" si="2"/>
        <v>0</v>
      </c>
      <c r="I170" s="17"/>
    </row>
    <row r="171" spans="2:9" ht="50.1" customHeight="1" x14ac:dyDescent="0.25">
      <c r="B171" s="12">
        <v>163</v>
      </c>
      <c r="C171" s="13" t="s">
        <v>125</v>
      </c>
      <c r="D171" s="14" t="s">
        <v>392</v>
      </c>
      <c r="E171" s="15" t="s">
        <v>399</v>
      </c>
      <c r="F171" s="38">
        <v>548</v>
      </c>
      <c r="G171" s="41">
        <v>1</v>
      </c>
      <c r="H171" s="43">
        <f t="shared" si="2"/>
        <v>548</v>
      </c>
      <c r="I171" s="17"/>
    </row>
    <row r="172" spans="2:9" ht="50.1" customHeight="1" x14ac:dyDescent="0.25">
      <c r="B172" s="12">
        <v>164</v>
      </c>
      <c r="C172" s="13" t="s">
        <v>126</v>
      </c>
      <c r="D172" s="14" t="s">
        <v>392</v>
      </c>
      <c r="E172" s="15" t="s">
        <v>399</v>
      </c>
      <c r="F172" s="38">
        <v>578</v>
      </c>
      <c r="G172" s="41">
        <v>1</v>
      </c>
      <c r="H172" s="43">
        <f t="shared" si="2"/>
        <v>578</v>
      </c>
      <c r="I172" s="17"/>
    </row>
    <row r="173" spans="2:9" ht="50.1" customHeight="1" x14ac:dyDescent="0.25">
      <c r="B173" s="12">
        <v>165</v>
      </c>
      <c r="C173" s="13" t="s">
        <v>127</v>
      </c>
      <c r="D173" s="14" t="s">
        <v>392</v>
      </c>
      <c r="E173" s="15" t="s">
        <v>399</v>
      </c>
      <c r="F173" s="38">
        <v>705</v>
      </c>
      <c r="G173" s="41">
        <v>1</v>
      </c>
      <c r="H173" s="43">
        <f t="shared" si="2"/>
        <v>705</v>
      </c>
      <c r="I173" s="17"/>
    </row>
    <row r="174" spans="2:9" ht="50.1" customHeight="1" x14ac:dyDescent="0.25">
      <c r="B174" s="12">
        <v>166</v>
      </c>
      <c r="C174" s="13" t="s">
        <v>128</v>
      </c>
      <c r="D174" s="14" t="s">
        <v>392</v>
      </c>
      <c r="E174" s="15" t="s">
        <v>402</v>
      </c>
      <c r="F174" s="38">
        <v>1</v>
      </c>
      <c r="G174" s="41">
        <v>50</v>
      </c>
      <c r="H174" s="43">
        <f t="shared" si="2"/>
        <v>50</v>
      </c>
      <c r="I174" s="17"/>
    </row>
    <row r="175" spans="2:9" ht="50.1" customHeight="1" x14ac:dyDescent="0.25">
      <c r="B175" s="12">
        <v>167</v>
      </c>
      <c r="C175" s="13" t="s">
        <v>129</v>
      </c>
      <c r="D175" s="14" t="s">
        <v>392</v>
      </c>
      <c r="E175" s="15" t="s">
        <v>425</v>
      </c>
      <c r="F175" s="38">
        <v>1</v>
      </c>
      <c r="G175" s="41">
        <v>1</v>
      </c>
      <c r="H175" s="43">
        <f t="shared" si="2"/>
        <v>1</v>
      </c>
      <c r="I175" s="17"/>
    </row>
    <row r="176" spans="2:9" ht="50.1" customHeight="1" x14ac:dyDescent="0.25">
      <c r="B176" s="12">
        <v>168</v>
      </c>
      <c r="C176" s="13" t="s">
        <v>199</v>
      </c>
      <c r="D176" s="14" t="s">
        <v>392</v>
      </c>
      <c r="E176" s="15" t="s">
        <v>419</v>
      </c>
      <c r="F176" s="38">
        <v>290</v>
      </c>
      <c r="G176" s="43">
        <f>146.42/198</f>
        <v>0.73949494949494943</v>
      </c>
      <c r="H176" s="43">
        <f t="shared" si="2"/>
        <v>214.45353535353533</v>
      </c>
      <c r="I176" s="17"/>
    </row>
    <row r="177" spans="2:9" ht="50.1" customHeight="1" x14ac:dyDescent="0.25">
      <c r="B177" s="12">
        <v>169</v>
      </c>
      <c r="C177" s="13" t="s">
        <v>130</v>
      </c>
      <c r="D177" s="14" t="s">
        <v>392</v>
      </c>
      <c r="E177" s="15" t="s">
        <v>419</v>
      </c>
      <c r="F177" s="38">
        <v>170</v>
      </c>
      <c r="G177" s="43">
        <f>6.32/12</f>
        <v>0.52666666666666673</v>
      </c>
      <c r="H177" s="43">
        <f t="shared" si="2"/>
        <v>89.533333333333346</v>
      </c>
      <c r="I177" s="16"/>
    </row>
    <row r="178" spans="2:9" ht="50.1" customHeight="1" x14ac:dyDescent="0.25">
      <c r="B178" s="12">
        <v>170</v>
      </c>
      <c r="C178" s="13" t="s">
        <v>131</v>
      </c>
      <c r="D178" s="14" t="s">
        <v>392</v>
      </c>
      <c r="E178" s="15" t="s">
        <v>419</v>
      </c>
      <c r="F178" s="38">
        <v>66</v>
      </c>
      <c r="G178" s="43">
        <f>97.68/26</f>
        <v>3.7569230769230773</v>
      </c>
      <c r="H178" s="43">
        <f t="shared" si="2"/>
        <v>247.95692307692309</v>
      </c>
      <c r="I178" s="19"/>
    </row>
    <row r="179" spans="2:9" ht="50.1" customHeight="1" x14ac:dyDescent="0.25">
      <c r="B179" s="12">
        <v>171</v>
      </c>
      <c r="C179" s="13" t="s">
        <v>132</v>
      </c>
      <c r="D179" s="14" t="s">
        <v>392</v>
      </c>
      <c r="E179" s="15" t="s">
        <v>403</v>
      </c>
      <c r="F179" s="38">
        <v>2</v>
      </c>
      <c r="G179" s="41">
        <v>1</v>
      </c>
      <c r="H179" s="43">
        <f t="shared" si="2"/>
        <v>2</v>
      </c>
      <c r="I179" s="19"/>
    </row>
    <row r="180" spans="2:9" ht="50.1" customHeight="1" x14ac:dyDescent="0.25">
      <c r="B180" s="12">
        <v>172</v>
      </c>
      <c r="C180" s="13" t="s">
        <v>133</v>
      </c>
      <c r="D180" s="14" t="s">
        <v>392</v>
      </c>
      <c r="E180" s="15" t="s">
        <v>426</v>
      </c>
      <c r="F180" s="38">
        <v>53</v>
      </c>
      <c r="G180" s="41">
        <v>1</v>
      </c>
      <c r="H180" s="43">
        <f t="shared" si="2"/>
        <v>53</v>
      </c>
      <c r="I180" s="17"/>
    </row>
    <row r="181" spans="2:9" ht="50.1" customHeight="1" x14ac:dyDescent="0.25">
      <c r="B181" s="12">
        <v>173</v>
      </c>
      <c r="C181" s="13" t="s">
        <v>240</v>
      </c>
      <c r="D181" s="14" t="s">
        <v>392</v>
      </c>
      <c r="E181" s="15" t="s">
        <v>405</v>
      </c>
      <c r="F181" s="38">
        <v>0</v>
      </c>
      <c r="G181" s="41">
        <v>1</v>
      </c>
      <c r="H181" s="43">
        <f t="shared" si="2"/>
        <v>0</v>
      </c>
      <c r="I181" s="17"/>
    </row>
    <row r="182" spans="2:9" ht="50.1" customHeight="1" x14ac:dyDescent="0.25">
      <c r="B182" s="12">
        <v>174</v>
      </c>
      <c r="C182" s="13" t="s">
        <v>134</v>
      </c>
      <c r="D182" s="14" t="s">
        <v>392</v>
      </c>
      <c r="E182" s="15" t="s">
        <v>406</v>
      </c>
      <c r="F182" s="38">
        <v>0</v>
      </c>
      <c r="G182" s="41">
        <v>1</v>
      </c>
      <c r="H182" s="43">
        <f t="shared" si="2"/>
        <v>0</v>
      </c>
      <c r="I182" s="17"/>
    </row>
    <row r="183" spans="2:9" ht="50.1" customHeight="1" x14ac:dyDescent="0.25">
      <c r="B183" s="12">
        <v>175</v>
      </c>
      <c r="C183" s="13" t="s">
        <v>200</v>
      </c>
      <c r="D183" s="14" t="s">
        <v>392</v>
      </c>
      <c r="E183" s="15" t="s">
        <v>406</v>
      </c>
      <c r="F183" s="38">
        <v>81</v>
      </c>
      <c r="G183" s="41">
        <v>1</v>
      </c>
      <c r="H183" s="43">
        <f t="shared" si="2"/>
        <v>81</v>
      </c>
      <c r="I183" s="17"/>
    </row>
    <row r="184" spans="2:9" ht="50.1" customHeight="1" x14ac:dyDescent="0.25">
      <c r="B184" s="12">
        <v>176</v>
      </c>
      <c r="C184" s="13" t="s">
        <v>241</v>
      </c>
      <c r="D184" s="14" t="s">
        <v>392</v>
      </c>
      <c r="E184" s="15" t="s">
        <v>399</v>
      </c>
      <c r="F184" s="38">
        <v>0</v>
      </c>
      <c r="G184" s="43">
        <v>12</v>
      </c>
      <c r="H184" s="43">
        <f t="shared" si="2"/>
        <v>0</v>
      </c>
      <c r="I184" s="17"/>
    </row>
    <row r="185" spans="2:9" ht="50.1" customHeight="1" x14ac:dyDescent="0.25">
      <c r="B185" s="12">
        <v>177</v>
      </c>
      <c r="C185" s="13" t="s">
        <v>135</v>
      </c>
      <c r="D185" s="14" t="s">
        <v>392</v>
      </c>
      <c r="E185" s="15" t="s">
        <v>411</v>
      </c>
      <c r="F185" s="38">
        <v>85</v>
      </c>
      <c r="G185" s="41">
        <v>35</v>
      </c>
      <c r="H185" s="43">
        <f t="shared" si="2"/>
        <v>2975</v>
      </c>
      <c r="I185" s="17"/>
    </row>
    <row r="186" spans="2:9" ht="50.1" customHeight="1" x14ac:dyDescent="0.25">
      <c r="B186" s="12">
        <v>178</v>
      </c>
      <c r="C186" s="13" t="s">
        <v>136</v>
      </c>
      <c r="D186" s="14" t="s">
        <v>392</v>
      </c>
      <c r="E186" s="15" t="s">
        <v>412</v>
      </c>
      <c r="F186" s="38">
        <v>108</v>
      </c>
      <c r="G186" s="41">
        <v>1</v>
      </c>
      <c r="H186" s="43">
        <f t="shared" si="2"/>
        <v>108</v>
      </c>
      <c r="I186" s="17"/>
    </row>
    <row r="187" spans="2:9" ht="50.1" customHeight="1" x14ac:dyDescent="0.25">
      <c r="B187" s="12">
        <v>179</v>
      </c>
      <c r="C187" s="13" t="s">
        <v>137</v>
      </c>
      <c r="D187" s="14" t="s">
        <v>392</v>
      </c>
      <c r="E187" s="15" t="s">
        <v>412</v>
      </c>
      <c r="F187" s="38">
        <v>231</v>
      </c>
      <c r="G187" s="41">
        <v>1</v>
      </c>
      <c r="H187" s="43">
        <f t="shared" si="2"/>
        <v>231</v>
      </c>
      <c r="I187" s="16"/>
    </row>
    <row r="188" spans="2:9" ht="50.1" customHeight="1" x14ac:dyDescent="0.25">
      <c r="B188" s="12">
        <v>180</v>
      </c>
      <c r="C188" s="13" t="s">
        <v>138</v>
      </c>
      <c r="D188" s="14" t="s">
        <v>392</v>
      </c>
      <c r="E188" s="15" t="s">
        <v>406</v>
      </c>
      <c r="F188" s="38">
        <v>100</v>
      </c>
      <c r="G188" s="43">
        <f>208.44/183</f>
        <v>1.139016393442623</v>
      </c>
      <c r="H188" s="43">
        <f t="shared" si="2"/>
        <v>113.90163934426229</v>
      </c>
      <c r="I188" s="17"/>
    </row>
    <row r="189" spans="2:9" ht="50.1" customHeight="1" x14ac:dyDescent="0.25">
      <c r="B189" s="12">
        <v>181</v>
      </c>
      <c r="C189" s="13" t="s">
        <v>139</v>
      </c>
      <c r="D189" s="14" t="s">
        <v>392</v>
      </c>
      <c r="E189" s="15" t="s">
        <v>406</v>
      </c>
      <c r="F189" s="38">
        <v>1050</v>
      </c>
      <c r="G189" s="41"/>
      <c r="H189" s="43">
        <f t="shared" si="2"/>
        <v>0</v>
      </c>
      <c r="I189" s="17"/>
    </row>
    <row r="190" spans="2:9" ht="50.1" customHeight="1" x14ac:dyDescent="0.25">
      <c r="B190" s="12">
        <v>182</v>
      </c>
      <c r="C190" s="13" t="s">
        <v>140</v>
      </c>
      <c r="D190" s="14" t="s">
        <v>392</v>
      </c>
      <c r="E190" s="15" t="s">
        <v>418</v>
      </c>
      <c r="F190" s="38">
        <v>14</v>
      </c>
      <c r="G190" s="41">
        <v>1</v>
      </c>
      <c r="H190" s="43">
        <f t="shared" si="2"/>
        <v>14</v>
      </c>
      <c r="I190" s="17"/>
    </row>
    <row r="191" spans="2:9" ht="50.1" customHeight="1" x14ac:dyDescent="0.25">
      <c r="B191" s="12">
        <v>183</v>
      </c>
      <c r="C191" s="13" t="s">
        <v>141</v>
      </c>
      <c r="D191" s="14" t="s">
        <v>392</v>
      </c>
      <c r="E191" s="15" t="s">
        <v>415</v>
      </c>
      <c r="F191" s="38">
        <v>26</v>
      </c>
      <c r="G191" s="43">
        <f>11</f>
        <v>11</v>
      </c>
      <c r="H191" s="43">
        <f t="shared" si="2"/>
        <v>286</v>
      </c>
      <c r="I191" s="17"/>
    </row>
    <row r="192" spans="2:9" ht="50.1" customHeight="1" x14ac:dyDescent="0.25">
      <c r="B192" s="12">
        <v>184</v>
      </c>
      <c r="C192" s="13" t="s">
        <v>142</v>
      </c>
      <c r="D192" s="14" t="s">
        <v>392</v>
      </c>
      <c r="E192" s="15" t="s">
        <v>415</v>
      </c>
      <c r="F192" s="38">
        <v>4</v>
      </c>
      <c r="G192" s="43">
        <f>15</f>
        <v>15</v>
      </c>
      <c r="H192" s="43">
        <f t="shared" si="2"/>
        <v>60</v>
      </c>
      <c r="I192" s="17"/>
    </row>
    <row r="193" spans="2:9" ht="50.1" customHeight="1" x14ac:dyDescent="0.25">
      <c r="B193" s="12">
        <v>185</v>
      </c>
      <c r="C193" s="13" t="s">
        <v>143</v>
      </c>
      <c r="D193" s="14" t="s">
        <v>392</v>
      </c>
      <c r="E193" s="15" t="s">
        <v>411</v>
      </c>
      <c r="F193" s="38">
        <v>2</v>
      </c>
      <c r="G193" s="41">
        <v>1</v>
      </c>
      <c r="H193" s="43">
        <f t="shared" si="2"/>
        <v>2</v>
      </c>
      <c r="I193" s="18"/>
    </row>
    <row r="194" spans="2:9" ht="50.1" customHeight="1" x14ac:dyDescent="0.25">
      <c r="B194" s="12">
        <v>186</v>
      </c>
      <c r="C194" s="13" t="s">
        <v>144</v>
      </c>
      <c r="D194" s="14" t="s">
        <v>392</v>
      </c>
      <c r="E194" s="15" t="s">
        <v>409</v>
      </c>
      <c r="F194" s="38">
        <v>44</v>
      </c>
      <c r="G194" s="41">
        <v>1</v>
      </c>
      <c r="H194" s="43">
        <f t="shared" si="2"/>
        <v>44</v>
      </c>
      <c r="I194" s="17"/>
    </row>
    <row r="195" spans="2:9" ht="50.1" customHeight="1" x14ac:dyDescent="0.25">
      <c r="B195" s="12">
        <v>187</v>
      </c>
      <c r="C195" s="13" t="s">
        <v>145</v>
      </c>
      <c r="D195" s="14" t="s">
        <v>392</v>
      </c>
      <c r="E195" s="15" t="s">
        <v>419</v>
      </c>
      <c r="F195" s="38">
        <v>244</v>
      </c>
      <c r="G195" s="41">
        <v>1</v>
      </c>
      <c r="H195" s="43">
        <f t="shared" si="2"/>
        <v>244</v>
      </c>
      <c r="I195" s="17"/>
    </row>
    <row r="196" spans="2:9" ht="50.1" customHeight="1" x14ac:dyDescent="0.25">
      <c r="B196" s="12">
        <v>188</v>
      </c>
      <c r="C196" s="13" t="s">
        <v>146</v>
      </c>
      <c r="D196" s="14" t="s">
        <v>392</v>
      </c>
      <c r="E196" s="15" t="s">
        <v>419</v>
      </c>
      <c r="F196" s="38">
        <v>79</v>
      </c>
      <c r="G196" s="41">
        <v>1</v>
      </c>
      <c r="H196" s="43">
        <f t="shared" si="2"/>
        <v>79</v>
      </c>
      <c r="I196" s="17"/>
    </row>
    <row r="197" spans="2:9" ht="50.1" customHeight="1" x14ac:dyDescent="0.25">
      <c r="B197" s="12">
        <v>189</v>
      </c>
      <c r="C197" s="13" t="s">
        <v>147</v>
      </c>
      <c r="D197" s="14" t="s">
        <v>392</v>
      </c>
      <c r="E197" s="15" t="s">
        <v>419</v>
      </c>
      <c r="F197" s="38">
        <v>205</v>
      </c>
      <c r="G197" s="41">
        <v>1</v>
      </c>
      <c r="H197" s="43">
        <f t="shared" si="2"/>
        <v>205</v>
      </c>
      <c r="I197" s="17"/>
    </row>
    <row r="198" spans="2:9" ht="50.1" customHeight="1" x14ac:dyDescent="0.25">
      <c r="B198" s="12">
        <v>190</v>
      </c>
      <c r="C198" s="13" t="s">
        <v>148</v>
      </c>
      <c r="D198" s="14" t="s">
        <v>392</v>
      </c>
      <c r="E198" s="15" t="s">
        <v>412</v>
      </c>
      <c r="F198" s="38">
        <v>19</v>
      </c>
      <c r="G198" s="41">
        <v>1</v>
      </c>
      <c r="H198" s="43">
        <f t="shared" si="2"/>
        <v>19</v>
      </c>
      <c r="I198" s="17"/>
    </row>
    <row r="199" spans="2:9" ht="50.1" customHeight="1" x14ac:dyDescent="0.25">
      <c r="B199" s="12">
        <v>191</v>
      </c>
      <c r="C199" s="13" t="s">
        <v>149</v>
      </c>
      <c r="D199" s="14" t="s">
        <v>392</v>
      </c>
      <c r="E199" s="15" t="s">
        <v>414</v>
      </c>
      <c r="F199" s="38">
        <v>2</v>
      </c>
      <c r="G199" s="41">
        <v>1</v>
      </c>
      <c r="H199" s="43">
        <f t="shared" si="2"/>
        <v>2</v>
      </c>
      <c r="I199" s="17"/>
    </row>
    <row r="200" spans="2:9" ht="50.1" customHeight="1" x14ac:dyDescent="0.25">
      <c r="B200" s="12">
        <v>192</v>
      </c>
      <c r="C200" s="13" t="s">
        <v>150</v>
      </c>
      <c r="D200" s="14" t="s">
        <v>392</v>
      </c>
      <c r="E200" s="15" t="s">
        <v>419</v>
      </c>
      <c r="F200" s="38">
        <v>83</v>
      </c>
      <c r="G200" s="43">
        <f>59.65/121</f>
        <v>0.49297520661157024</v>
      </c>
      <c r="H200" s="43">
        <f t="shared" si="2"/>
        <v>40.916942148760327</v>
      </c>
      <c r="I200" s="17"/>
    </row>
    <row r="201" spans="2:9" ht="50.1" customHeight="1" x14ac:dyDescent="0.25">
      <c r="B201" s="12">
        <v>193</v>
      </c>
      <c r="C201" s="13" t="s">
        <v>151</v>
      </c>
      <c r="D201" s="14" t="s">
        <v>392</v>
      </c>
      <c r="E201" s="15" t="s">
        <v>406</v>
      </c>
      <c r="F201" s="38">
        <v>60</v>
      </c>
      <c r="G201" s="41">
        <v>1</v>
      </c>
      <c r="H201" s="43">
        <f t="shared" si="2"/>
        <v>60</v>
      </c>
      <c r="I201" s="17"/>
    </row>
    <row r="202" spans="2:9" ht="50.1" customHeight="1" x14ac:dyDescent="0.25">
      <c r="B202" s="12">
        <v>194</v>
      </c>
      <c r="C202" s="13" t="s">
        <v>152</v>
      </c>
      <c r="D202" s="14" t="s">
        <v>392</v>
      </c>
      <c r="E202" s="15" t="s">
        <v>405</v>
      </c>
      <c r="F202" s="38">
        <v>10</v>
      </c>
      <c r="G202" s="41">
        <v>16</v>
      </c>
      <c r="H202" s="43">
        <f t="shared" ref="H202:H265" si="3">F202*G202</f>
        <v>160</v>
      </c>
      <c r="I202" s="17"/>
    </row>
    <row r="203" spans="2:9" ht="50.1" customHeight="1" x14ac:dyDescent="0.25">
      <c r="B203" s="12">
        <v>195</v>
      </c>
      <c r="C203" s="13" t="s">
        <v>153</v>
      </c>
      <c r="D203" s="14" t="s">
        <v>392</v>
      </c>
      <c r="E203" s="15" t="s">
        <v>399</v>
      </c>
      <c r="F203" s="38">
        <v>7</v>
      </c>
      <c r="G203" s="41">
        <v>3.5</v>
      </c>
      <c r="H203" s="43">
        <f t="shared" si="3"/>
        <v>24.5</v>
      </c>
      <c r="I203" s="17"/>
    </row>
    <row r="204" spans="2:9" ht="50.1" customHeight="1" x14ac:dyDescent="0.25">
      <c r="B204" s="12">
        <v>196</v>
      </c>
      <c r="C204" s="13" t="s">
        <v>242</v>
      </c>
      <c r="D204" s="14" t="s">
        <v>392</v>
      </c>
      <c r="E204" s="15" t="s">
        <v>399</v>
      </c>
      <c r="F204" s="38">
        <v>0</v>
      </c>
      <c r="G204" s="41">
        <v>1</v>
      </c>
      <c r="H204" s="43">
        <f t="shared" si="3"/>
        <v>0</v>
      </c>
      <c r="I204" s="17"/>
    </row>
    <row r="205" spans="2:9" ht="50.1" customHeight="1" x14ac:dyDescent="0.25">
      <c r="B205" s="12">
        <v>197</v>
      </c>
      <c r="C205" s="13" t="s">
        <v>154</v>
      </c>
      <c r="D205" s="14" t="s">
        <v>392</v>
      </c>
      <c r="E205" s="15" t="s">
        <v>427</v>
      </c>
      <c r="F205" s="38">
        <v>18</v>
      </c>
      <c r="G205" s="41">
        <v>1</v>
      </c>
      <c r="H205" s="43">
        <f t="shared" si="3"/>
        <v>18</v>
      </c>
      <c r="I205" s="17"/>
    </row>
    <row r="206" spans="2:9" ht="50.1" customHeight="1" x14ac:dyDescent="0.25">
      <c r="B206" s="12">
        <v>198</v>
      </c>
      <c r="C206" s="13" t="s">
        <v>155</v>
      </c>
      <c r="D206" s="14" t="s">
        <v>392</v>
      </c>
      <c r="E206" s="15" t="s">
        <v>427</v>
      </c>
      <c r="F206" s="38">
        <v>93</v>
      </c>
      <c r="G206" s="39">
        <v>8.1</v>
      </c>
      <c r="H206" s="43">
        <f t="shared" si="3"/>
        <v>753.3</v>
      </c>
      <c r="I206" s="17"/>
    </row>
    <row r="207" spans="2:9" ht="50.1" customHeight="1" x14ac:dyDescent="0.25">
      <c r="B207" s="12">
        <v>199</v>
      </c>
      <c r="C207" s="13" t="s">
        <v>156</v>
      </c>
      <c r="D207" s="14" t="s">
        <v>392</v>
      </c>
      <c r="E207" s="15" t="s">
        <v>419</v>
      </c>
      <c r="F207" s="38">
        <v>30</v>
      </c>
      <c r="G207" s="41">
        <v>1</v>
      </c>
      <c r="H207" s="43">
        <f t="shared" si="3"/>
        <v>30</v>
      </c>
      <c r="I207" s="17"/>
    </row>
    <row r="208" spans="2:9" ht="50.1" customHeight="1" x14ac:dyDescent="0.25">
      <c r="B208" s="12">
        <v>200</v>
      </c>
      <c r="C208" s="13" t="s">
        <v>157</v>
      </c>
      <c r="D208" s="14" t="s">
        <v>392</v>
      </c>
      <c r="E208" s="15" t="s">
        <v>401</v>
      </c>
      <c r="F208" s="38">
        <v>98</v>
      </c>
      <c r="G208" s="41">
        <v>35</v>
      </c>
      <c r="H208" s="43">
        <f t="shared" si="3"/>
        <v>3430</v>
      </c>
      <c r="I208" s="17"/>
    </row>
    <row r="209" spans="2:9" ht="50.1" customHeight="1" x14ac:dyDescent="0.25">
      <c r="B209" s="12">
        <v>201</v>
      </c>
      <c r="C209" s="13" t="s">
        <v>158</v>
      </c>
      <c r="D209" s="14" t="s">
        <v>392</v>
      </c>
      <c r="E209" s="15" t="s">
        <v>401</v>
      </c>
      <c r="F209" s="38">
        <v>9</v>
      </c>
      <c r="G209" s="41">
        <v>51</v>
      </c>
      <c r="H209" s="43">
        <f t="shared" si="3"/>
        <v>459</v>
      </c>
      <c r="I209" s="17"/>
    </row>
    <row r="210" spans="2:9" ht="50.1" customHeight="1" x14ac:dyDescent="0.25">
      <c r="B210" s="12">
        <v>202</v>
      </c>
      <c r="C210" s="13" t="s">
        <v>159</v>
      </c>
      <c r="D210" s="14" t="s">
        <v>392</v>
      </c>
      <c r="E210" s="15" t="s">
        <v>401</v>
      </c>
      <c r="F210" s="38">
        <v>85</v>
      </c>
      <c r="G210" s="41">
        <v>1</v>
      </c>
      <c r="H210" s="43">
        <f t="shared" si="3"/>
        <v>85</v>
      </c>
      <c r="I210" s="17"/>
    </row>
    <row r="211" spans="2:9" ht="50.1" customHeight="1" x14ac:dyDescent="0.25">
      <c r="B211" s="12">
        <v>203</v>
      </c>
      <c r="C211" s="20" t="s">
        <v>160</v>
      </c>
      <c r="D211" s="14" t="s">
        <v>392</v>
      </c>
      <c r="E211" s="15" t="s">
        <v>401</v>
      </c>
      <c r="F211" s="38">
        <v>1</v>
      </c>
      <c r="G211" s="41">
        <v>253.3</v>
      </c>
      <c r="H211" s="43">
        <f t="shared" si="3"/>
        <v>253.3</v>
      </c>
      <c r="I211" s="17"/>
    </row>
    <row r="212" spans="2:9" ht="50.1" customHeight="1" x14ac:dyDescent="0.25">
      <c r="B212" s="12">
        <v>204</v>
      </c>
      <c r="C212" s="20" t="s">
        <v>161</v>
      </c>
      <c r="D212" s="14" t="s">
        <v>392</v>
      </c>
      <c r="E212" s="15" t="s">
        <v>401</v>
      </c>
      <c r="F212" s="38">
        <v>37</v>
      </c>
      <c r="G212" s="41">
        <v>160</v>
      </c>
      <c r="H212" s="43">
        <f t="shared" si="3"/>
        <v>5920</v>
      </c>
      <c r="I212" s="17"/>
    </row>
    <row r="213" spans="2:9" ht="50.1" customHeight="1" x14ac:dyDescent="0.25">
      <c r="B213" s="12">
        <v>205</v>
      </c>
      <c r="C213" s="20" t="s">
        <v>162</v>
      </c>
      <c r="D213" s="14" t="s">
        <v>392</v>
      </c>
      <c r="E213" s="15" t="s">
        <v>401</v>
      </c>
      <c r="F213" s="38">
        <v>80</v>
      </c>
      <c r="G213" s="41">
        <v>1</v>
      </c>
      <c r="H213" s="43">
        <f t="shared" si="3"/>
        <v>80</v>
      </c>
      <c r="I213" s="17"/>
    </row>
    <row r="214" spans="2:9" ht="50.1" customHeight="1" x14ac:dyDescent="0.25">
      <c r="B214" s="12">
        <v>206</v>
      </c>
      <c r="C214" s="20" t="s">
        <v>243</v>
      </c>
      <c r="D214" s="14" t="s">
        <v>392</v>
      </c>
      <c r="E214" s="15" t="s">
        <v>418</v>
      </c>
      <c r="F214" s="38">
        <v>442</v>
      </c>
      <c r="G214" s="41">
        <v>1</v>
      </c>
      <c r="H214" s="43">
        <f t="shared" si="3"/>
        <v>442</v>
      </c>
      <c r="I214" s="17"/>
    </row>
    <row r="215" spans="2:9" ht="50.1" customHeight="1" x14ac:dyDescent="0.25">
      <c r="B215" s="12">
        <v>207</v>
      </c>
      <c r="C215" s="20" t="s">
        <v>163</v>
      </c>
      <c r="D215" s="14" t="s">
        <v>392</v>
      </c>
      <c r="E215" s="15" t="s">
        <v>401</v>
      </c>
      <c r="F215" s="38">
        <v>30</v>
      </c>
      <c r="G215" s="41">
        <v>51</v>
      </c>
      <c r="H215" s="43">
        <f t="shared" si="3"/>
        <v>1530</v>
      </c>
      <c r="I215" s="17"/>
    </row>
    <row r="216" spans="2:9" ht="50.1" customHeight="1" x14ac:dyDescent="0.25">
      <c r="B216" s="12">
        <v>208</v>
      </c>
      <c r="C216" s="20" t="s">
        <v>244</v>
      </c>
      <c r="D216" s="14" t="s">
        <v>392</v>
      </c>
      <c r="E216" s="15" t="s">
        <v>399</v>
      </c>
      <c r="F216" s="38">
        <v>0</v>
      </c>
      <c r="G216" s="41">
        <v>1</v>
      </c>
      <c r="H216" s="43">
        <f t="shared" si="3"/>
        <v>0</v>
      </c>
      <c r="I216" s="17"/>
    </row>
    <row r="217" spans="2:9" ht="50.1" customHeight="1" x14ac:dyDescent="0.25">
      <c r="B217" s="12">
        <v>209</v>
      </c>
      <c r="C217" s="20" t="s">
        <v>164</v>
      </c>
      <c r="D217" s="14" t="s">
        <v>392</v>
      </c>
      <c r="E217" s="15" t="s">
        <v>401</v>
      </c>
      <c r="F217" s="38">
        <v>9</v>
      </c>
      <c r="G217" s="41">
        <v>130</v>
      </c>
      <c r="H217" s="43">
        <f t="shared" si="3"/>
        <v>1170</v>
      </c>
      <c r="I217" s="17"/>
    </row>
    <row r="218" spans="2:9" ht="50.1" customHeight="1" x14ac:dyDescent="0.25">
      <c r="B218" s="12">
        <v>210</v>
      </c>
      <c r="C218" s="20" t="s">
        <v>165</v>
      </c>
      <c r="D218" s="14" t="s">
        <v>392</v>
      </c>
      <c r="E218" s="15" t="s">
        <v>416</v>
      </c>
      <c r="F218" s="38">
        <v>5</v>
      </c>
      <c r="G218" s="41">
        <v>1</v>
      </c>
      <c r="H218" s="43">
        <f t="shared" si="3"/>
        <v>5</v>
      </c>
      <c r="I218" s="17"/>
    </row>
    <row r="219" spans="2:9" ht="50.1" customHeight="1" x14ac:dyDescent="0.25">
      <c r="B219" s="12">
        <v>211</v>
      </c>
      <c r="C219" s="20" t="s">
        <v>245</v>
      </c>
      <c r="D219" s="14" t="s">
        <v>392</v>
      </c>
      <c r="E219" s="15" t="s">
        <v>402</v>
      </c>
      <c r="F219" s="38">
        <v>0</v>
      </c>
      <c r="G219" s="41">
        <v>1</v>
      </c>
      <c r="H219" s="43">
        <f t="shared" si="3"/>
        <v>0</v>
      </c>
      <c r="I219" s="18"/>
    </row>
    <row r="220" spans="2:9" ht="50.1" customHeight="1" x14ac:dyDescent="0.25">
      <c r="B220" s="12">
        <v>212</v>
      </c>
      <c r="C220" s="20" t="s">
        <v>166</v>
      </c>
      <c r="D220" s="14" t="s">
        <v>392</v>
      </c>
      <c r="E220" s="15" t="s">
        <v>404</v>
      </c>
      <c r="F220" s="38">
        <v>5</v>
      </c>
      <c r="G220" s="41">
        <v>1</v>
      </c>
      <c r="H220" s="43">
        <f t="shared" si="3"/>
        <v>5</v>
      </c>
      <c r="I220" s="18"/>
    </row>
    <row r="221" spans="2:9" ht="50.1" customHeight="1" x14ac:dyDescent="0.25">
      <c r="B221" s="12">
        <v>213</v>
      </c>
      <c r="C221" s="20" t="s">
        <v>246</v>
      </c>
      <c r="D221" s="14" t="s">
        <v>392</v>
      </c>
      <c r="E221" s="15" t="s">
        <v>422</v>
      </c>
      <c r="F221" s="38">
        <v>0</v>
      </c>
      <c r="G221" s="41">
        <v>1</v>
      </c>
      <c r="H221" s="43">
        <f t="shared" si="3"/>
        <v>0</v>
      </c>
      <c r="I221" s="25"/>
    </row>
    <row r="222" spans="2:9" ht="50.1" customHeight="1" x14ac:dyDescent="0.25">
      <c r="B222" s="12">
        <v>214</v>
      </c>
      <c r="C222" s="20" t="s">
        <v>167</v>
      </c>
      <c r="D222" s="14" t="s">
        <v>392</v>
      </c>
      <c r="E222" s="15" t="s">
        <v>406</v>
      </c>
      <c r="F222" s="38">
        <v>160</v>
      </c>
      <c r="G222" s="43">
        <f>64.31/97</f>
        <v>0.66298969072164948</v>
      </c>
      <c r="H222" s="43">
        <f t="shared" si="3"/>
        <v>106.07835051546391</v>
      </c>
      <c r="I222" s="25"/>
    </row>
    <row r="223" spans="2:9" ht="50.1" customHeight="1" x14ac:dyDescent="0.25">
      <c r="B223" s="12">
        <v>215</v>
      </c>
      <c r="C223" s="20" t="s">
        <v>168</v>
      </c>
      <c r="D223" s="14" t="s">
        <v>392</v>
      </c>
      <c r="E223" s="15" t="s">
        <v>409</v>
      </c>
      <c r="F223" s="38">
        <v>6</v>
      </c>
      <c r="G223" s="41">
        <v>1</v>
      </c>
      <c r="H223" s="43">
        <f t="shared" si="3"/>
        <v>6</v>
      </c>
      <c r="I223" s="25"/>
    </row>
    <row r="224" spans="2:9" ht="50.1" customHeight="1" x14ac:dyDescent="0.25">
      <c r="B224" s="12">
        <v>216</v>
      </c>
      <c r="C224" s="20" t="s">
        <v>247</v>
      </c>
      <c r="D224" s="14" t="s">
        <v>392</v>
      </c>
      <c r="E224" s="15" t="s">
        <v>419</v>
      </c>
      <c r="F224" s="38">
        <v>0</v>
      </c>
      <c r="G224" s="41">
        <v>1</v>
      </c>
      <c r="H224" s="43">
        <f t="shared" si="3"/>
        <v>0</v>
      </c>
      <c r="I224" s="18"/>
    </row>
    <row r="225" spans="2:9" ht="50.1" customHeight="1" x14ac:dyDescent="0.25">
      <c r="B225" s="12">
        <v>217</v>
      </c>
      <c r="C225" s="20" t="s">
        <v>169</v>
      </c>
      <c r="D225" s="14" t="s">
        <v>392</v>
      </c>
      <c r="E225" s="15" t="s">
        <v>419</v>
      </c>
      <c r="F225" s="38">
        <v>74</v>
      </c>
      <c r="G225" s="43">
        <f>40.47/69</f>
        <v>0.58652173913043482</v>
      </c>
      <c r="H225" s="43">
        <f t="shared" si="3"/>
        <v>43.402608695652177</v>
      </c>
      <c r="I225" s="18"/>
    </row>
    <row r="226" spans="2:9" ht="50.1" customHeight="1" x14ac:dyDescent="0.25">
      <c r="B226" s="12">
        <v>218</v>
      </c>
      <c r="C226" s="20" t="s">
        <v>170</v>
      </c>
      <c r="D226" s="14" t="s">
        <v>392</v>
      </c>
      <c r="E226" s="15" t="s">
        <v>419</v>
      </c>
      <c r="F226" s="38">
        <v>34</v>
      </c>
      <c r="G226" s="41">
        <v>1</v>
      </c>
      <c r="H226" s="43">
        <f t="shared" si="3"/>
        <v>34</v>
      </c>
      <c r="I226" s="18"/>
    </row>
    <row r="227" spans="2:9" ht="50.1" customHeight="1" x14ac:dyDescent="0.25">
      <c r="B227" s="12">
        <v>219</v>
      </c>
      <c r="C227" s="20" t="s">
        <v>171</v>
      </c>
      <c r="D227" s="14" t="s">
        <v>392</v>
      </c>
      <c r="E227" s="15" t="s">
        <v>419</v>
      </c>
      <c r="F227" s="38">
        <v>70</v>
      </c>
      <c r="G227" s="41">
        <v>1</v>
      </c>
      <c r="H227" s="43">
        <f t="shared" si="3"/>
        <v>70</v>
      </c>
      <c r="I227" s="18"/>
    </row>
    <row r="228" spans="2:9" ht="50.1" customHeight="1" x14ac:dyDescent="0.25">
      <c r="B228" s="12">
        <v>220</v>
      </c>
      <c r="C228" s="20" t="s">
        <v>172</v>
      </c>
      <c r="D228" s="14" t="s">
        <v>392</v>
      </c>
      <c r="E228" s="15" t="s">
        <v>411</v>
      </c>
      <c r="F228" s="38">
        <v>70</v>
      </c>
      <c r="G228" s="41">
        <v>2.7</v>
      </c>
      <c r="H228" s="43">
        <f t="shared" si="3"/>
        <v>189</v>
      </c>
      <c r="I228" s="18"/>
    </row>
    <row r="229" spans="2:9" ht="50.1" customHeight="1" x14ac:dyDescent="0.25">
      <c r="B229" s="12">
        <v>221</v>
      </c>
      <c r="C229" s="20" t="s">
        <v>173</v>
      </c>
      <c r="D229" s="14" t="s">
        <v>392</v>
      </c>
      <c r="E229" s="15" t="s">
        <v>413</v>
      </c>
      <c r="F229" s="38">
        <v>14</v>
      </c>
      <c r="G229" s="41">
        <v>1</v>
      </c>
      <c r="H229" s="43">
        <f t="shared" si="3"/>
        <v>14</v>
      </c>
      <c r="I229" s="18"/>
    </row>
    <row r="230" spans="2:9" ht="50.1" customHeight="1" x14ac:dyDescent="0.25">
      <c r="B230" s="12">
        <v>222</v>
      </c>
      <c r="C230" s="20" t="s">
        <v>174</v>
      </c>
      <c r="D230" s="14" t="s">
        <v>392</v>
      </c>
      <c r="E230" s="15" t="s">
        <v>415</v>
      </c>
      <c r="F230" s="38">
        <v>60</v>
      </c>
      <c r="G230" s="43">
        <f>42</f>
        <v>42</v>
      </c>
      <c r="H230" s="43">
        <f t="shared" si="3"/>
        <v>2520</v>
      </c>
      <c r="I230" s="18"/>
    </row>
    <row r="231" spans="2:9" ht="50.1" customHeight="1" x14ac:dyDescent="0.25">
      <c r="B231" s="26">
        <v>223</v>
      </c>
      <c r="C231" s="27" t="s">
        <v>175</v>
      </c>
      <c r="D231" s="14" t="s">
        <v>392</v>
      </c>
      <c r="E231" s="15" t="s">
        <v>415</v>
      </c>
      <c r="F231" s="38">
        <v>43</v>
      </c>
      <c r="G231" s="43">
        <f>42</f>
        <v>42</v>
      </c>
      <c r="H231" s="43">
        <f t="shared" si="3"/>
        <v>1806</v>
      </c>
      <c r="I231" s="18"/>
    </row>
    <row r="232" spans="2:9" ht="50.1" customHeight="1" x14ac:dyDescent="0.25">
      <c r="B232" s="26">
        <v>224</v>
      </c>
      <c r="C232" s="27" t="s">
        <v>248</v>
      </c>
      <c r="D232" s="14" t="s">
        <v>392</v>
      </c>
      <c r="E232" s="15" t="s">
        <v>410</v>
      </c>
      <c r="F232" s="38">
        <v>0</v>
      </c>
      <c r="G232" s="41">
        <v>1</v>
      </c>
      <c r="H232" s="43">
        <f t="shared" si="3"/>
        <v>0</v>
      </c>
      <c r="I232" s="18"/>
    </row>
    <row r="233" spans="2:9" ht="50.1" customHeight="1" x14ac:dyDescent="0.25">
      <c r="B233" s="12">
        <v>225</v>
      </c>
      <c r="C233" s="20" t="s">
        <v>249</v>
      </c>
      <c r="D233" s="14" t="s">
        <v>392</v>
      </c>
      <c r="E233" s="15" t="s">
        <v>399</v>
      </c>
      <c r="F233" s="38">
        <v>0</v>
      </c>
      <c r="G233" s="41">
        <v>1</v>
      </c>
      <c r="H233" s="43">
        <f t="shared" si="3"/>
        <v>0</v>
      </c>
      <c r="I233" s="18"/>
    </row>
    <row r="234" spans="2:9" ht="50.1" customHeight="1" x14ac:dyDescent="0.25">
      <c r="B234" s="12">
        <v>226</v>
      </c>
      <c r="C234" s="20" t="s">
        <v>250</v>
      </c>
      <c r="D234" s="14" t="s">
        <v>392</v>
      </c>
      <c r="E234" s="15" t="s">
        <v>399</v>
      </c>
      <c r="F234" s="38">
        <v>0</v>
      </c>
      <c r="G234" s="41">
        <v>1</v>
      </c>
      <c r="H234" s="43">
        <f t="shared" si="3"/>
        <v>0</v>
      </c>
      <c r="I234" s="18"/>
    </row>
    <row r="235" spans="2:9" ht="50.1" customHeight="1" x14ac:dyDescent="0.25">
      <c r="B235" s="12">
        <v>227</v>
      </c>
      <c r="C235" s="20" t="s">
        <v>176</v>
      </c>
      <c r="D235" s="14" t="s">
        <v>392</v>
      </c>
      <c r="E235" s="15" t="s">
        <v>399</v>
      </c>
      <c r="F235" s="38">
        <v>2</v>
      </c>
      <c r="G235" s="41">
        <v>1</v>
      </c>
      <c r="H235" s="43">
        <f t="shared" si="3"/>
        <v>2</v>
      </c>
      <c r="I235" s="18"/>
    </row>
    <row r="236" spans="2:9" ht="50.1" customHeight="1" x14ac:dyDescent="0.25">
      <c r="B236" s="12">
        <v>228</v>
      </c>
      <c r="C236" s="20" t="s">
        <v>210</v>
      </c>
      <c r="D236" s="14" t="s">
        <v>392</v>
      </c>
      <c r="E236" s="15" t="s">
        <v>415</v>
      </c>
      <c r="F236" s="38">
        <v>6</v>
      </c>
      <c r="G236" s="43">
        <f>270</f>
        <v>270</v>
      </c>
      <c r="H236" s="43">
        <f t="shared" si="3"/>
        <v>1620</v>
      </c>
      <c r="I236" s="18"/>
    </row>
    <row r="237" spans="2:9" ht="50.1" customHeight="1" x14ac:dyDescent="0.25">
      <c r="B237" s="12">
        <v>229</v>
      </c>
      <c r="C237" s="20" t="s">
        <v>251</v>
      </c>
      <c r="D237" s="14" t="s">
        <v>392</v>
      </c>
      <c r="E237" s="15" t="s">
        <v>415</v>
      </c>
      <c r="F237" s="38">
        <v>0</v>
      </c>
      <c r="G237" s="41">
        <v>1</v>
      </c>
      <c r="H237" s="43">
        <f t="shared" si="3"/>
        <v>0</v>
      </c>
      <c r="I237" s="18"/>
    </row>
    <row r="238" spans="2:9" ht="50.1" customHeight="1" x14ac:dyDescent="0.25">
      <c r="B238" s="12">
        <v>230</v>
      </c>
      <c r="C238" s="20" t="s">
        <v>177</v>
      </c>
      <c r="D238" s="14" t="s">
        <v>392</v>
      </c>
      <c r="E238" s="15" t="s">
        <v>403</v>
      </c>
      <c r="F238" s="38">
        <v>1</v>
      </c>
      <c r="G238" s="41">
        <v>1</v>
      </c>
      <c r="H238" s="43">
        <f t="shared" si="3"/>
        <v>1</v>
      </c>
      <c r="I238" s="18"/>
    </row>
    <row r="239" spans="2:9" ht="50.1" customHeight="1" x14ac:dyDescent="0.25">
      <c r="B239" s="12">
        <v>231</v>
      </c>
      <c r="C239" s="28" t="s">
        <v>252</v>
      </c>
      <c r="D239" s="14" t="s">
        <v>392</v>
      </c>
      <c r="E239" s="15" t="s">
        <v>402</v>
      </c>
      <c r="F239" s="38">
        <v>0</v>
      </c>
      <c r="G239" s="41">
        <v>1104.06</v>
      </c>
      <c r="H239" s="43">
        <f t="shared" si="3"/>
        <v>0</v>
      </c>
      <c r="I239" s="18"/>
    </row>
    <row r="240" spans="2:9" ht="50.1" customHeight="1" x14ac:dyDescent="0.25">
      <c r="B240" s="15">
        <v>232</v>
      </c>
      <c r="C240" s="24" t="s">
        <v>253</v>
      </c>
      <c r="D240" s="14" t="s">
        <v>392</v>
      </c>
      <c r="E240" s="15" t="s">
        <v>402</v>
      </c>
      <c r="F240" s="38">
        <v>0</v>
      </c>
      <c r="G240" s="41">
        <v>3.15</v>
      </c>
      <c r="H240" s="43">
        <f t="shared" si="3"/>
        <v>0</v>
      </c>
      <c r="I240" s="18"/>
    </row>
    <row r="241" spans="2:9" ht="50.1" customHeight="1" x14ac:dyDescent="0.25">
      <c r="B241" s="15">
        <v>233</v>
      </c>
      <c r="C241" s="24" t="s">
        <v>254</v>
      </c>
      <c r="D241" s="14" t="s">
        <v>392</v>
      </c>
      <c r="E241" s="15" t="s">
        <v>402</v>
      </c>
      <c r="F241" s="38">
        <v>0</v>
      </c>
      <c r="G241" s="41">
        <v>192.57</v>
      </c>
      <c r="H241" s="43">
        <f t="shared" si="3"/>
        <v>0</v>
      </c>
      <c r="I241" s="18"/>
    </row>
    <row r="242" spans="2:9" ht="50.1" customHeight="1" x14ac:dyDescent="0.25">
      <c r="B242" s="15">
        <v>234</v>
      </c>
      <c r="C242" s="29" t="s">
        <v>255</v>
      </c>
      <c r="D242" s="14" t="s">
        <v>392</v>
      </c>
      <c r="E242" s="15" t="s">
        <v>402</v>
      </c>
      <c r="F242" s="38">
        <v>0</v>
      </c>
      <c r="G242" s="41">
        <v>38.51</v>
      </c>
      <c r="H242" s="43">
        <f t="shared" si="3"/>
        <v>0</v>
      </c>
      <c r="I242" s="18"/>
    </row>
    <row r="243" spans="2:9" ht="50.1" customHeight="1" x14ac:dyDescent="0.25">
      <c r="B243" s="15">
        <v>235</v>
      </c>
      <c r="C243" s="29" t="s">
        <v>256</v>
      </c>
      <c r="D243" s="14" t="s">
        <v>392</v>
      </c>
      <c r="E243" s="15" t="s">
        <v>402</v>
      </c>
      <c r="F243" s="38">
        <v>0</v>
      </c>
      <c r="G243" s="41">
        <v>1115.42</v>
      </c>
      <c r="H243" s="43">
        <f t="shared" si="3"/>
        <v>0</v>
      </c>
      <c r="I243" s="18"/>
    </row>
    <row r="244" spans="2:9" ht="50.1" customHeight="1" x14ac:dyDescent="0.25">
      <c r="B244" s="15">
        <v>236</v>
      </c>
      <c r="C244" s="29" t="s">
        <v>257</v>
      </c>
      <c r="D244" s="14" t="s">
        <v>392</v>
      </c>
      <c r="E244" s="15" t="s">
        <v>401</v>
      </c>
      <c r="F244" s="38">
        <v>0</v>
      </c>
      <c r="G244" s="41">
        <v>150</v>
      </c>
      <c r="H244" s="43">
        <f t="shared" si="3"/>
        <v>0</v>
      </c>
      <c r="I244" s="18"/>
    </row>
    <row r="245" spans="2:9" ht="50.1" customHeight="1" x14ac:dyDescent="0.25">
      <c r="B245" s="15">
        <v>237</v>
      </c>
      <c r="C245" s="29" t="s">
        <v>178</v>
      </c>
      <c r="D245" s="14" t="s">
        <v>392</v>
      </c>
      <c r="E245" s="15" t="s">
        <v>419</v>
      </c>
      <c r="F245" s="38">
        <v>450</v>
      </c>
      <c r="G245" s="43">
        <f>77.05/500</f>
        <v>0.15409999999999999</v>
      </c>
      <c r="H245" s="43">
        <f t="shared" si="3"/>
        <v>69.344999999999999</v>
      </c>
      <c r="I245" s="18"/>
    </row>
    <row r="246" spans="2:9" ht="50.1" customHeight="1" x14ac:dyDescent="0.25">
      <c r="B246" s="15">
        <v>238</v>
      </c>
      <c r="C246" s="29" t="s">
        <v>179</v>
      </c>
      <c r="D246" s="14" t="s">
        <v>392</v>
      </c>
      <c r="E246" s="15" t="s">
        <v>419</v>
      </c>
      <c r="F246" s="38">
        <v>450</v>
      </c>
      <c r="G246" s="43">
        <f>114.42/500</f>
        <v>0.22884000000000002</v>
      </c>
      <c r="H246" s="43">
        <f t="shared" si="3"/>
        <v>102.97800000000001</v>
      </c>
      <c r="I246" s="18"/>
    </row>
    <row r="247" spans="2:9" ht="50.1" customHeight="1" x14ac:dyDescent="0.25">
      <c r="B247" s="15">
        <v>239</v>
      </c>
      <c r="C247" s="29" t="s">
        <v>258</v>
      </c>
      <c r="D247" s="14" t="s">
        <v>392</v>
      </c>
      <c r="E247" s="15" t="s">
        <v>414</v>
      </c>
      <c r="F247" s="38">
        <v>7</v>
      </c>
      <c r="G247" s="41">
        <v>1</v>
      </c>
      <c r="H247" s="43">
        <f t="shared" si="3"/>
        <v>7</v>
      </c>
      <c r="I247" s="18"/>
    </row>
    <row r="248" spans="2:9" ht="50.1" customHeight="1" x14ac:dyDescent="0.25">
      <c r="B248" s="15">
        <v>240</v>
      </c>
      <c r="C248" s="29" t="s">
        <v>180</v>
      </c>
      <c r="D248" s="14" t="s">
        <v>392</v>
      </c>
      <c r="E248" s="15" t="s">
        <v>402</v>
      </c>
      <c r="F248" s="38">
        <v>5</v>
      </c>
      <c r="G248" s="41">
        <v>1</v>
      </c>
      <c r="H248" s="43">
        <f t="shared" si="3"/>
        <v>5</v>
      </c>
      <c r="I248" s="18"/>
    </row>
    <row r="249" spans="2:9" ht="50.1" customHeight="1" x14ac:dyDescent="0.25">
      <c r="B249" s="15">
        <v>241</v>
      </c>
      <c r="C249" s="24" t="s">
        <v>181</v>
      </c>
      <c r="D249" s="14" t="s">
        <v>392</v>
      </c>
      <c r="E249" s="15" t="s">
        <v>412</v>
      </c>
      <c r="F249" s="38">
        <v>44</v>
      </c>
      <c r="G249" s="43">
        <f>191.25/45</f>
        <v>4.25</v>
      </c>
      <c r="H249" s="43">
        <f t="shared" si="3"/>
        <v>187</v>
      </c>
      <c r="I249" s="18"/>
    </row>
    <row r="250" spans="2:9" ht="50.1" customHeight="1" x14ac:dyDescent="0.25">
      <c r="B250" s="15">
        <v>242</v>
      </c>
      <c r="C250" s="29" t="s">
        <v>182</v>
      </c>
      <c r="D250" s="14" t="s">
        <v>392</v>
      </c>
      <c r="E250" s="15" t="s">
        <v>401</v>
      </c>
      <c r="F250" s="38">
        <v>0</v>
      </c>
      <c r="G250" s="41">
        <v>1</v>
      </c>
      <c r="H250" s="43">
        <f t="shared" si="3"/>
        <v>0</v>
      </c>
      <c r="I250" s="18"/>
    </row>
    <row r="251" spans="2:9" ht="50.1" customHeight="1" x14ac:dyDescent="0.25">
      <c r="B251" s="15">
        <v>243</v>
      </c>
      <c r="C251" s="29" t="s">
        <v>183</v>
      </c>
      <c r="D251" s="14" t="s">
        <v>392</v>
      </c>
      <c r="E251" s="15" t="s">
        <v>401</v>
      </c>
      <c r="F251" s="38">
        <v>0</v>
      </c>
      <c r="G251" s="41">
        <v>1</v>
      </c>
      <c r="H251" s="43">
        <f t="shared" si="3"/>
        <v>0</v>
      </c>
      <c r="I251" s="18"/>
    </row>
    <row r="252" spans="2:9" ht="50.1" customHeight="1" x14ac:dyDescent="0.25">
      <c r="B252" s="15">
        <v>244</v>
      </c>
      <c r="C252" s="29" t="s">
        <v>259</v>
      </c>
      <c r="D252" s="14" t="s">
        <v>392</v>
      </c>
      <c r="E252" s="15" t="s">
        <v>413</v>
      </c>
      <c r="F252" s="38">
        <v>12</v>
      </c>
      <c r="G252" s="41">
        <v>1</v>
      </c>
      <c r="H252" s="43">
        <f t="shared" si="3"/>
        <v>12</v>
      </c>
      <c r="I252" s="18"/>
    </row>
    <row r="253" spans="2:9" ht="50.1" customHeight="1" x14ac:dyDescent="0.25">
      <c r="B253" s="15">
        <v>245</v>
      </c>
      <c r="C253" s="29" t="s">
        <v>260</v>
      </c>
      <c r="D253" s="14" t="s">
        <v>392</v>
      </c>
      <c r="E253" s="15" t="s">
        <v>412</v>
      </c>
      <c r="F253" s="38">
        <v>65</v>
      </c>
      <c r="G253" s="43">
        <f>221/65</f>
        <v>3.4</v>
      </c>
      <c r="H253" s="43">
        <f t="shared" si="3"/>
        <v>221</v>
      </c>
      <c r="I253" s="18"/>
    </row>
    <row r="254" spans="2:9" ht="50.1" customHeight="1" x14ac:dyDescent="0.25">
      <c r="B254" s="15">
        <v>246</v>
      </c>
      <c r="C254" s="30" t="s">
        <v>261</v>
      </c>
      <c r="D254" s="14" t="s">
        <v>392</v>
      </c>
      <c r="E254" s="15" t="s">
        <v>399</v>
      </c>
      <c r="F254" s="38">
        <v>0</v>
      </c>
      <c r="G254" s="41">
        <v>1</v>
      </c>
      <c r="H254" s="43">
        <f t="shared" si="3"/>
        <v>0</v>
      </c>
      <c r="I254" s="18"/>
    </row>
    <row r="255" spans="2:9" ht="50.1" customHeight="1" x14ac:dyDescent="0.25">
      <c r="B255" s="15">
        <v>247</v>
      </c>
      <c r="C255" s="30" t="s">
        <v>262</v>
      </c>
      <c r="D255" s="14" t="s">
        <v>392</v>
      </c>
      <c r="E255" s="15" t="s">
        <v>399</v>
      </c>
      <c r="F255" s="38">
        <v>0</v>
      </c>
      <c r="G255" s="41">
        <v>1</v>
      </c>
      <c r="H255" s="43">
        <f t="shared" si="3"/>
        <v>0</v>
      </c>
      <c r="I255" s="18"/>
    </row>
    <row r="256" spans="2:9" ht="50.1" customHeight="1" x14ac:dyDescent="0.25">
      <c r="B256" s="15">
        <v>248</v>
      </c>
      <c r="C256" s="30" t="s">
        <v>201</v>
      </c>
      <c r="D256" s="14" t="s">
        <v>392</v>
      </c>
      <c r="E256" s="15" t="s">
        <v>416</v>
      </c>
      <c r="F256" s="38">
        <v>2</v>
      </c>
      <c r="G256" s="43">
        <f>10</f>
        <v>10</v>
      </c>
      <c r="H256" s="43">
        <f t="shared" si="3"/>
        <v>20</v>
      </c>
      <c r="I256" s="18"/>
    </row>
    <row r="257" spans="2:9" ht="50.1" customHeight="1" x14ac:dyDescent="0.25">
      <c r="B257" s="15">
        <v>249</v>
      </c>
      <c r="C257" s="29" t="s">
        <v>263</v>
      </c>
      <c r="D257" s="14" t="s">
        <v>392</v>
      </c>
      <c r="E257" s="15" t="s">
        <v>408</v>
      </c>
      <c r="F257" s="38">
        <v>0</v>
      </c>
      <c r="G257" s="43">
        <v>1.38</v>
      </c>
      <c r="H257" s="43">
        <f t="shared" si="3"/>
        <v>0</v>
      </c>
      <c r="I257" s="18"/>
    </row>
    <row r="258" spans="2:9" ht="50.1" customHeight="1" x14ac:dyDescent="0.25">
      <c r="B258" s="15">
        <v>250</v>
      </c>
      <c r="C258" s="29" t="s">
        <v>184</v>
      </c>
      <c r="D258" s="14" t="s">
        <v>392</v>
      </c>
      <c r="E258" s="15" t="s">
        <v>404</v>
      </c>
      <c r="F258" s="38">
        <v>40</v>
      </c>
      <c r="G258" s="43">
        <v>14</v>
      </c>
      <c r="H258" s="43">
        <f t="shared" si="3"/>
        <v>560</v>
      </c>
      <c r="I258" s="18"/>
    </row>
    <row r="259" spans="2:9" ht="50.1" customHeight="1" x14ac:dyDescent="0.25">
      <c r="B259" s="15">
        <v>251</v>
      </c>
      <c r="C259" s="29" t="s">
        <v>264</v>
      </c>
      <c r="D259" s="14" t="s">
        <v>392</v>
      </c>
      <c r="E259" s="15" t="s">
        <v>404</v>
      </c>
      <c r="F259" s="38">
        <v>40</v>
      </c>
      <c r="G259" s="43">
        <v>14</v>
      </c>
      <c r="H259" s="43">
        <f t="shared" si="3"/>
        <v>560</v>
      </c>
      <c r="I259" s="18"/>
    </row>
    <row r="260" spans="2:9" ht="50.1" customHeight="1" x14ac:dyDescent="0.25">
      <c r="B260" s="15">
        <v>252</v>
      </c>
      <c r="C260" s="29" t="s">
        <v>265</v>
      </c>
      <c r="D260" s="14" t="s">
        <v>392</v>
      </c>
      <c r="E260" s="15" t="s">
        <v>404</v>
      </c>
      <c r="F260" s="38">
        <v>0</v>
      </c>
      <c r="G260" s="43">
        <v>14</v>
      </c>
      <c r="H260" s="43">
        <f t="shared" si="3"/>
        <v>0</v>
      </c>
      <c r="I260" s="18"/>
    </row>
    <row r="261" spans="2:9" ht="50.1" customHeight="1" x14ac:dyDescent="0.25">
      <c r="B261" s="15">
        <v>253</v>
      </c>
      <c r="C261" s="29" t="s">
        <v>202</v>
      </c>
      <c r="D261" s="14" t="s">
        <v>392</v>
      </c>
      <c r="E261" s="15" t="s">
        <v>404</v>
      </c>
      <c r="F261" s="38">
        <v>48</v>
      </c>
      <c r="G261" s="43">
        <v>14</v>
      </c>
      <c r="H261" s="43">
        <f t="shared" si="3"/>
        <v>672</v>
      </c>
      <c r="I261" s="18"/>
    </row>
    <row r="262" spans="2:9" ht="50.1" customHeight="1" x14ac:dyDescent="0.25">
      <c r="B262" s="15">
        <v>254</v>
      </c>
      <c r="C262" s="29" t="s">
        <v>203</v>
      </c>
      <c r="D262" s="14" t="s">
        <v>392</v>
      </c>
      <c r="E262" s="15" t="s">
        <v>404</v>
      </c>
      <c r="F262" s="38">
        <v>0</v>
      </c>
      <c r="G262" s="41">
        <v>1</v>
      </c>
      <c r="H262" s="43">
        <f t="shared" si="3"/>
        <v>0</v>
      </c>
      <c r="I262" s="18"/>
    </row>
    <row r="263" spans="2:9" ht="50.1" customHeight="1" x14ac:dyDescent="0.25">
      <c r="B263" s="15">
        <v>255</v>
      </c>
      <c r="C263" s="29" t="s">
        <v>266</v>
      </c>
      <c r="D263" s="14" t="s">
        <v>392</v>
      </c>
      <c r="E263" s="15" t="s">
        <v>408</v>
      </c>
      <c r="F263" s="38">
        <v>0</v>
      </c>
      <c r="G263" s="43">
        <v>1.38</v>
      </c>
      <c r="H263" s="43">
        <f t="shared" si="3"/>
        <v>0</v>
      </c>
      <c r="I263" s="18"/>
    </row>
    <row r="264" spans="2:9" ht="50.1" customHeight="1" x14ac:dyDescent="0.25">
      <c r="B264" s="15">
        <v>256</v>
      </c>
      <c r="C264" s="24" t="s">
        <v>267</v>
      </c>
      <c r="D264" s="14" t="s">
        <v>392</v>
      </c>
      <c r="E264" s="15" t="s">
        <v>416</v>
      </c>
      <c r="F264" s="38">
        <v>0</v>
      </c>
      <c r="G264" s="45">
        <v>244.7</v>
      </c>
      <c r="H264" s="43">
        <f t="shared" si="3"/>
        <v>0</v>
      </c>
      <c r="I264" s="18"/>
    </row>
    <row r="265" spans="2:9" ht="50.1" customHeight="1" x14ac:dyDescent="0.25">
      <c r="B265" s="15">
        <v>257</v>
      </c>
      <c r="C265" s="29" t="s">
        <v>268</v>
      </c>
      <c r="D265" s="14" t="s">
        <v>392</v>
      </c>
      <c r="E265" s="15" t="s">
        <v>403</v>
      </c>
      <c r="F265" s="38">
        <v>0</v>
      </c>
      <c r="G265" s="43">
        <v>15.79</v>
      </c>
      <c r="H265" s="43">
        <f t="shared" si="3"/>
        <v>0</v>
      </c>
      <c r="I265" s="18"/>
    </row>
    <row r="266" spans="2:9" ht="50.1" customHeight="1" x14ac:dyDescent="0.25">
      <c r="B266" s="15">
        <v>258</v>
      </c>
      <c r="C266" s="31" t="s">
        <v>269</v>
      </c>
      <c r="D266" s="15" t="s">
        <v>392</v>
      </c>
      <c r="E266" s="15" t="s">
        <v>428</v>
      </c>
      <c r="F266" s="38">
        <v>0</v>
      </c>
      <c r="G266" s="41">
        <v>1</v>
      </c>
      <c r="H266" s="43">
        <f t="shared" ref="H266:H329" si="4">F266*G266</f>
        <v>0</v>
      </c>
      <c r="I266" s="18"/>
    </row>
    <row r="267" spans="2:9" ht="50.1" customHeight="1" x14ac:dyDescent="0.25">
      <c r="B267" s="15">
        <v>259</v>
      </c>
      <c r="C267" s="24" t="s">
        <v>270</v>
      </c>
      <c r="D267" s="32" t="s">
        <v>392</v>
      </c>
      <c r="E267" s="15" t="s">
        <v>429</v>
      </c>
      <c r="F267" s="38">
        <v>0</v>
      </c>
      <c r="G267" s="41">
        <v>1</v>
      </c>
      <c r="H267" s="43">
        <f t="shared" si="4"/>
        <v>0</v>
      </c>
      <c r="I267" s="18"/>
    </row>
    <row r="268" spans="2:9" ht="50.1" customHeight="1" x14ac:dyDescent="0.25">
      <c r="B268" s="15">
        <v>260</v>
      </c>
      <c r="C268" s="29" t="s">
        <v>271</v>
      </c>
      <c r="D268" s="32" t="s">
        <v>392</v>
      </c>
      <c r="E268" s="15" t="s">
        <v>416</v>
      </c>
      <c r="F268" s="38">
        <v>0</v>
      </c>
      <c r="G268" s="41">
        <v>1</v>
      </c>
      <c r="H268" s="43">
        <f t="shared" si="4"/>
        <v>0</v>
      </c>
      <c r="I268" s="18"/>
    </row>
    <row r="269" spans="2:9" ht="50.1" customHeight="1" x14ac:dyDescent="0.25">
      <c r="B269" s="15">
        <v>261</v>
      </c>
      <c r="C269" s="24" t="s">
        <v>272</v>
      </c>
      <c r="D269" s="15" t="s">
        <v>392</v>
      </c>
      <c r="E269" s="15" t="s">
        <v>403</v>
      </c>
      <c r="F269" s="38">
        <v>0</v>
      </c>
      <c r="G269" s="41">
        <v>1</v>
      </c>
      <c r="H269" s="43">
        <f t="shared" si="4"/>
        <v>0</v>
      </c>
      <c r="I269" s="18"/>
    </row>
    <row r="270" spans="2:9" ht="50.1" customHeight="1" x14ac:dyDescent="0.25">
      <c r="B270" s="15">
        <v>262</v>
      </c>
      <c r="C270" s="24" t="s">
        <v>273</v>
      </c>
      <c r="D270" s="15" t="s">
        <v>392</v>
      </c>
      <c r="E270" s="15" t="s">
        <v>403</v>
      </c>
      <c r="F270" s="38">
        <v>0</v>
      </c>
      <c r="G270" s="41">
        <v>1</v>
      </c>
      <c r="H270" s="43">
        <f t="shared" si="4"/>
        <v>0</v>
      </c>
      <c r="I270" s="18"/>
    </row>
    <row r="271" spans="2:9" ht="50.1" customHeight="1" x14ac:dyDescent="0.25">
      <c r="B271" s="15">
        <v>263</v>
      </c>
      <c r="C271" s="24" t="s">
        <v>274</v>
      </c>
      <c r="D271" s="14" t="s">
        <v>392</v>
      </c>
      <c r="E271" s="15" t="s">
        <v>403</v>
      </c>
      <c r="F271" s="38">
        <v>0</v>
      </c>
      <c r="G271" s="41">
        <v>1</v>
      </c>
      <c r="H271" s="43">
        <f t="shared" si="4"/>
        <v>0</v>
      </c>
      <c r="I271" s="18"/>
    </row>
    <row r="272" spans="2:9" ht="50.1" customHeight="1" x14ac:dyDescent="0.25">
      <c r="B272" s="15">
        <v>264</v>
      </c>
      <c r="C272" s="24" t="s">
        <v>275</v>
      </c>
      <c r="D272" s="14" t="s">
        <v>392</v>
      </c>
      <c r="E272" s="15" t="s">
        <v>399</v>
      </c>
      <c r="F272" s="38">
        <v>0</v>
      </c>
      <c r="G272" s="41">
        <v>1</v>
      </c>
      <c r="H272" s="43">
        <f t="shared" si="4"/>
        <v>0</v>
      </c>
      <c r="I272" s="18"/>
    </row>
    <row r="273" spans="2:9" ht="50.1" customHeight="1" x14ac:dyDescent="0.25">
      <c r="B273" s="15">
        <v>265</v>
      </c>
      <c r="C273" s="24" t="s">
        <v>276</v>
      </c>
      <c r="D273" s="14" t="s">
        <v>392</v>
      </c>
      <c r="E273" s="15" t="s">
        <v>403</v>
      </c>
      <c r="F273" s="38">
        <v>0</v>
      </c>
      <c r="G273" s="41">
        <v>1</v>
      </c>
      <c r="H273" s="43">
        <f t="shared" si="4"/>
        <v>0</v>
      </c>
      <c r="I273" s="18"/>
    </row>
    <row r="274" spans="2:9" ht="50.1" customHeight="1" x14ac:dyDescent="0.25">
      <c r="B274" s="15">
        <v>266</v>
      </c>
      <c r="C274" s="24" t="s">
        <v>277</v>
      </c>
      <c r="D274" s="14" t="s">
        <v>392</v>
      </c>
      <c r="E274" s="15" t="s">
        <v>403</v>
      </c>
      <c r="F274" s="38">
        <v>0</v>
      </c>
      <c r="G274" s="41">
        <v>1</v>
      </c>
      <c r="H274" s="43">
        <f t="shared" si="4"/>
        <v>0</v>
      </c>
      <c r="I274" s="18"/>
    </row>
    <row r="275" spans="2:9" ht="50.1" customHeight="1" x14ac:dyDescent="0.25">
      <c r="B275" s="15">
        <v>267</v>
      </c>
      <c r="C275" s="24" t="s">
        <v>278</v>
      </c>
      <c r="D275" s="14" t="s">
        <v>392</v>
      </c>
      <c r="E275" s="15" t="s">
        <v>416</v>
      </c>
      <c r="F275" s="38">
        <v>0</v>
      </c>
      <c r="G275" s="44">
        <v>338.4</v>
      </c>
      <c r="H275" s="43">
        <f t="shared" si="4"/>
        <v>0</v>
      </c>
      <c r="I275" s="18"/>
    </row>
    <row r="276" spans="2:9" ht="50.1" customHeight="1" x14ac:dyDescent="0.25">
      <c r="B276" s="15">
        <v>268</v>
      </c>
      <c r="C276" s="24" t="s">
        <v>279</v>
      </c>
      <c r="D276" s="14" t="s">
        <v>392</v>
      </c>
      <c r="E276" s="15" t="s">
        <v>399</v>
      </c>
      <c r="F276" s="38">
        <v>0</v>
      </c>
      <c r="G276" s="41">
        <v>1</v>
      </c>
      <c r="H276" s="43">
        <f t="shared" si="4"/>
        <v>0</v>
      </c>
      <c r="I276" s="18"/>
    </row>
    <row r="277" spans="2:9" ht="50.1" customHeight="1" x14ac:dyDescent="0.25">
      <c r="B277" s="15">
        <v>269</v>
      </c>
      <c r="C277" s="24" t="s">
        <v>280</v>
      </c>
      <c r="D277" s="14" t="s">
        <v>392</v>
      </c>
      <c r="E277" s="15" t="s">
        <v>403</v>
      </c>
      <c r="F277" s="38">
        <v>0</v>
      </c>
      <c r="G277" s="41">
        <v>1</v>
      </c>
      <c r="H277" s="43">
        <f t="shared" si="4"/>
        <v>0</v>
      </c>
      <c r="I277" s="18"/>
    </row>
    <row r="278" spans="2:9" ht="50.1" customHeight="1" x14ac:dyDescent="0.25">
      <c r="B278" s="15">
        <v>270</v>
      </c>
      <c r="C278" s="24" t="s">
        <v>281</v>
      </c>
      <c r="D278" s="14" t="s">
        <v>392</v>
      </c>
      <c r="E278" s="15" t="s">
        <v>403</v>
      </c>
      <c r="F278" s="38">
        <v>0</v>
      </c>
      <c r="G278" s="41">
        <v>1</v>
      </c>
      <c r="H278" s="43">
        <f t="shared" si="4"/>
        <v>0</v>
      </c>
      <c r="I278" s="18"/>
    </row>
    <row r="279" spans="2:9" ht="50.1" customHeight="1" x14ac:dyDescent="0.25">
      <c r="B279" s="15">
        <v>271</v>
      </c>
      <c r="C279" s="24" t="s">
        <v>282</v>
      </c>
      <c r="D279" s="14" t="s">
        <v>392</v>
      </c>
      <c r="E279" s="15" t="s">
        <v>416</v>
      </c>
      <c r="F279" s="38">
        <v>0</v>
      </c>
      <c r="G279" s="41">
        <v>1</v>
      </c>
      <c r="H279" s="43">
        <f t="shared" si="4"/>
        <v>0</v>
      </c>
      <c r="I279" s="18"/>
    </row>
    <row r="280" spans="2:9" ht="50.1" customHeight="1" x14ac:dyDescent="0.25">
      <c r="B280" s="15">
        <v>272</v>
      </c>
      <c r="C280" s="24" t="s">
        <v>283</v>
      </c>
      <c r="D280" s="14" t="s">
        <v>392</v>
      </c>
      <c r="E280" s="15" t="s">
        <v>412</v>
      </c>
      <c r="F280" s="38">
        <v>0</v>
      </c>
      <c r="G280" s="41">
        <v>1</v>
      </c>
      <c r="H280" s="43">
        <f t="shared" si="4"/>
        <v>0</v>
      </c>
      <c r="I280" s="18"/>
    </row>
    <row r="281" spans="2:9" ht="50.1" customHeight="1" x14ac:dyDescent="0.25">
      <c r="B281" s="15">
        <v>273</v>
      </c>
      <c r="C281" s="24" t="s">
        <v>284</v>
      </c>
      <c r="D281" s="14" t="s">
        <v>392</v>
      </c>
      <c r="E281" s="15" t="s">
        <v>404</v>
      </c>
      <c r="F281" s="38">
        <v>0</v>
      </c>
      <c r="G281" s="41">
        <v>1</v>
      </c>
      <c r="H281" s="43">
        <f t="shared" si="4"/>
        <v>0</v>
      </c>
      <c r="I281" s="18"/>
    </row>
    <row r="282" spans="2:9" ht="50.1" customHeight="1" x14ac:dyDescent="0.25">
      <c r="B282" s="15">
        <v>274</v>
      </c>
      <c r="C282" s="24" t="s">
        <v>285</v>
      </c>
      <c r="D282" s="14" t="s">
        <v>392</v>
      </c>
      <c r="E282" s="15" t="s">
        <v>404</v>
      </c>
      <c r="F282" s="38">
        <v>0</v>
      </c>
      <c r="G282" s="41">
        <v>1</v>
      </c>
      <c r="H282" s="43">
        <f t="shared" si="4"/>
        <v>0</v>
      </c>
      <c r="I282" s="18"/>
    </row>
    <row r="283" spans="2:9" ht="50.1" customHeight="1" x14ac:dyDescent="0.25">
      <c r="B283" s="15">
        <v>275</v>
      </c>
      <c r="C283" s="24" t="s">
        <v>286</v>
      </c>
      <c r="D283" s="14" t="s">
        <v>392</v>
      </c>
      <c r="E283" s="15" t="s">
        <v>404</v>
      </c>
      <c r="F283" s="38">
        <v>0</v>
      </c>
      <c r="G283" s="41">
        <v>1</v>
      </c>
      <c r="H283" s="43">
        <f t="shared" si="4"/>
        <v>0</v>
      </c>
      <c r="I283" s="18"/>
    </row>
    <row r="284" spans="2:9" ht="50.1" customHeight="1" x14ac:dyDescent="0.25">
      <c r="B284" s="15">
        <v>276</v>
      </c>
      <c r="C284" s="24" t="s">
        <v>287</v>
      </c>
      <c r="D284" s="14" t="s">
        <v>392</v>
      </c>
      <c r="E284" s="15" t="s">
        <v>403</v>
      </c>
      <c r="F284" s="38">
        <v>0</v>
      </c>
      <c r="G284" s="41">
        <v>1</v>
      </c>
      <c r="H284" s="43">
        <f t="shared" si="4"/>
        <v>0</v>
      </c>
      <c r="I284" s="18"/>
    </row>
    <row r="285" spans="2:9" ht="50.1" customHeight="1" x14ac:dyDescent="0.25">
      <c r="B285" s="15">
        <v>277</v>
      </c>
      <c r="C285" s="24" t="s">
        <v>288</v>
      </c>
      <c r="D285" s="14" t="s">
        <v>392</v>
      </c>
      <c r="E285" s="15" t="s">
        <v>403</v>
      </c>
      <c r="F285" s="38">
        <v>0</v>
      </c>
      <c r="G285" s="41">
        <v>1</v>
      </c>
      <c r="H285" s="43">
        <f t="shared" si="4"/>
        <v>0</v>
      </c>
      <c r="I285" s="18"/>
    </row>
    <row r="286" spans="2:9" ht="50.1" customHeight="1" x14ac:dyDescent="0.25">
      <c r="B286" s="15">
        <v>278</v>
      </c>
      <c r="C286" s="24" t="s">
        <v>289</v>
      </c>
      <c r="D286" s="14" t="s">
        <v>392</v>
      </c>
      <c r="E286" s="15" t="s">
        <v>428</v>
      </c>
      <c r="F286" s="38">
        <v>0</v>
      </c>
      <c r="G286" s="41">
        <v>1</v>
      </c>
      <c r="H286" s="43">
        <f t="shared" si="4"/>
        <v>0</v>
      </c>
      <c r="I286" s="18"/>
    </row>
    <row r="287" spans="2:9" ht="50.1" customHeight="1" x14ac:dyDescent="0.25">
      <c r="B287" s="15">
        <v>279</v>
      </c>
      <c r="C287" s="24" t="s">
        <v>290</v>
      </c>
      <c r="D287" s="14" t="s">
        <v>392</v>
      </c>
      <c r="E287" s="15" t="s">
        <v>399</v>
      </c>
      <c r="F287" s="38">
        <v>0</v>
      </c>
      <c r="G287" s="41">
        <v>1</v>
      </c>
      <c r="H287" s="43">
        <f t="shared" si="4"/>
        <v>0</v>
      </c>
      <c r="I287" s="18"/>
    </row>
    <row r="288" spans="2:9" ht="50.1" customHeight="1" x14ac:dyDescent="0.25">
      <c r="B288" s="15">
        <v>280</v>
      </c>
      <c r="C288" s="24" t="s">
        <v>291</v>
      </c>
      <c r="D288" s="14" t="s">
        <v>392</v>
      </c>
      <c r="E288" s="15" t="s">
        <v>399</v>
      </c>
      <c r="F288" s="38">
        <v>0</v>
      </c>
      <c r="G288" s="41">
        <v>1</v>
      </c>
      <c r="H288" s="43">
        <f t="shared" si="4"/>
        <v>0</v>
      </c>
      <c r="I288" s="18"/>
    </row>
    <row r="289" spans="2:9" ht="50.1" customHeight="1" x14ac:dyDescent="0.25">
      <c r="B289" s="15">
        <v>281</v>
      </c>
      <c r="C289" s="24" t="s">
        <v>292</v>
      </c>
      <c r="D289" s="14" t="s">
        <v>392</v>
      </c>
      <c r="E289" s="15" t="s">
        <v>430</v>
      </c>
      <c r="F289" s="38">
        <v>0</v>
      </c>
      <c r="G289" s="41">
        <v>1</v>
      </c>
      <c r="H289" s="43">
        <f t="shared" si="4"/>
        <v>0</v>
      </c>
      <c r="I289" s="18"/>
    </row>
    <row r="290" spans="2:9" ht="50.1" customHeight="1" x14ac:dyDescent="0.25">
      <c r="B290" s="15">
        <v>282</v>
      </c>
      <c r="C290" s="24" t="s">
        <v>293</v>
      </c>
      <c r="D290" s="14" t="s">
        <v>392</v>
      </c>
      <c r="E290" s="15" t="s">
        <v>401</v>
      </c>
      <c r="F290" s="38">
        <v>0</v>
      </c>
      <c r="G290" s="41">
        <v>1</v>
      </c>
      <c r="H290" s="43">
        <f t="shared" si="4"/>
        <v>0</v>
      </c>
      <c r="I290" s="18"/>
    </row>
    <row r="291" spans="2:9" ht="50.1" customHeight="1" x14ac:dyDescent="0.25">
      <c r="B291" s="15">
        <v>283</v>
      </c>
      <c r="C291" s="24" t="s">
        <v>294</v>
      </c>
      <c r="D291" s="14" t="s">
        <v>392</v>
      </c>
      <c r="E291" s="15" t="s">
        <v>409</v>
      </c>
      <c r="F291" s="38">
        <v>0</v>
      </c>
      <c r="G291" s="41">
        <v>1</v>
      </c>
      <c r="H291" s="43">
        <f t="shared" si="4"/>
        <v>0</v>
      </c>
      <c r="I291" s="18"/>
    </row>
    <row r="292" spans="2:9" ht="50.1" customHeight="1" x14ac:dyDescent="0.25">
      <c r="B292" s="15">
        <v>284</v>
      </c>
      <c r="C292" s="24" t="s">
        <v>295</v>
      </c>
      <c r="D292" s="14" t="s">
        <v>392</v>
      </c>
      <c r="E292" s="15" t="s">
        <v>404</v>
      </c>
      <c r="F292" s="38">
        <v>0</v>
      </c>
      <c r="G292" s="41">
        <v>1</v>
      </c>
      <c r="H292" s="43">
        <f t="shared" si="4"/>
        <v>0</v>
      </c>
      <c r="I292" s="18"/>
    </row>
    <row r="293" spans="2:9" ht="50.1" customHeight="1" x14ac:dyDescent="0.25">
      <c r="B293" s="15">
        <v>285</v>
      </c>
      <c r="C293" s="24" t="s">
        <v>296</v>
      </c>
      <c r="D293" s="14" t="s">
        <v>392</v>
      </c>
      <c r="E293" s="15" t="s">
        <v>399</v>
      </c>
      <c r="F293" s="38">
        <v>0</v>
      </c>
      <c r="G293" s="41">
        <v>1</v>
      </c>
      <c r="H293" s="43">
        <f t="shared" si="4"/>
        <v>0</v>
      </c>
      <c r="I293" s="18"/>
    </row>
    <row r="294" spans="2:9" ht="50.1" customHeight="1" x14ac:dyDescent="0.25">
      <c r="B294" s="15">
        <v>286</v>
      </c>
      <c r="C294" s="24" t="s">
        <v>297</v>
      </c>
      <c r="D294" s="14" t="s">
        <v>392</v>
      </c>
      <c r="E294" s="15" t="s">
        <v>430</v>
      </c>
      <c r="F294" s="38">
        <v>0</v>
      </c>
      <c r="G294" s="41">
        <v>1</v>
      </c>
      <c r="H294" s="43">
        <f t="shared" si="4"/>
        <v>0</v>
      </c>
      <c r="I294" s="18"/>
    </row>
    <row r="295" spans="2:9" ht="50.1" customHeight="1" x14ac:dyDescent="0.25">
      <c r="B295" s="15">
        <v>287</v>
      </c>
      <c r="C295" s="24" t="s">
        <v>298</v>
      </c>
      <c r="D295" s="14" t="s">
        <v>392</v>
      </c>
      <c r="E295" s="15" t="s">
        <v>403</v>
      </c>
      <c r="F295" s="38">
        <v>0</v>
      </c>
      <c r="G295" s="41">
        <v>1</v>
      </c>
      <c r="H295" s="43">
        <f t="shared" si="4"/>
        <v>0</v>
      </c>
      <c r="I295" s="18"/>
    </row>
    <row r="296" spans="2:9" ht="50.1" customHeight="1" x14ac:dyDescent="0.25">
      <c r="B296" s="15">
        <v>288</v>
      </c>
      <c r="C296" s="24" t="s">
        <v>299</v>
      </c>
      <c r="D296" s="14" t="s">
        <v>392</v>
      </c>
      <c r="E296" s="15" t="s">
        <v>399</v>
      </c>
      <c r="F296" s="38">
        <v>0</v>
      </c>
      <c r="G296" s="41">
        <v>1</v>
      </c>
      <c r="H296" s="43">
        <f t="shared" si="4"/>
        <v>0</v>
      </c>
      <c r="I296" s="18"/>
    </row>
    <row r="297" spans="2:9" ht="50.1" customHeight="1" x14ac:dyDescent="0.25">
      <c r="B297" s="15">
        <v>289</v>
      </c>
      <c r="C297" s="24" t="s">
        <v>300</v>
      </c>
      <c r="D297" s="14" t="s">
        <v>392</v>
      </c>
      <c r="E297" s="15" t="s">
        <v>413</v>
      </c>
      <c r="F297" s="38">
        <v>7</v>
      </c>
      <c r="G297" s="39">
        <v>90</v>
      </c>
      <c r="H297" s="43">
        <f t="shared" si="4"/>
        <v>630</v>
      </c>
      <c r="I297" s="18"/>
    </row>
    <row r="298" spans="2:9" ht="50.1" customHeight="1" x14ac:dyDescent="0.25">
      <c r="B298" s="15">
        <v>290</v>
      </c>
      <c r="C298" s="24" t="s">
        <v>301</v>
      </c>
      <c r="D298" s="14" t="s">
        <v>392</v>
      </c>
      <c r="E298" s="15" t="s">
        <v>399</v>
      </c>
      <c r="F298" s="38">
        <v>0</v>
      </c>
      <c r="G298" s="43">
        <v>8</v>
      </c>
      <c r="H298" s="43">
        <f t="shared" si="4"/>
        <v>0</v>
      </c>
      <c r="I298" s="18"/>
    </row>
    <row r="299" spans="2:9" ht="50.1" customHeight="1" x14ac:dyDescent="0.25">
      <c r="B299" s="15">
        <v>291</v>
      </c>
      <c r="C299" s="24" t="s">
        <v>302</v>
      </c>
      <c r="D299" s="14" t="s">
        <v>392</v>
      </c>
      <c r="E299" s="15" t="s">
        <v>399</v>
      </c>
      <c r="F299" s="38">
        <v>0</v>
      </c>
      <c r="G299" s="43">
        <v>6</v>
      </c>
      <c r="H299" s="43">
        <f t="shared" si="4"/>
        <v>0</v>
      </c>
      <c r="I299" s="18"/>
    </row>
    <row r="300" spans="2:9" ht="50.1" customHeight="1" x14ac:dyDescent="0.25">
      <c r="B300" s="15">
        <v>292</v>
      </c>
      <c r="C300" s="24" t="s">
        <v>303</v>
      </c>
      <c r="D300" s="14" t="s">
        <v>392</v>
      </c>
      <c r="E300" s="15" t="s">
        <v>399</v>
      </c>
      <c r="F300" s="38">
        <v>0</v>
      </c>
      <c r="G300" s="43">
        <v>8</v>
      </c>
      <c r="H300" s="43">
        <f t="shared" si="4"/>
        <v>0</v>
      </c>
      <c r="I300" s="18"/>
    </row>
    <row r="301" spans="2:9" ht="50.1" customHeight="1" x14ac:dyDescent="0.25">
      <c r="B301" s="15">
        <v>293</v>
      </c>
      <c r="C301" s="24" t="s">
        <v>304</v>
      </c>
      <c r="D301" s="14" t="s">
        <v>392</v>
      </c>
      <c r="E301" s="15" t="s">
        <v>399</v>
      </c>
      <c r="F301" s="38">
        <v>0</v>
      </c>
      <c r="G301" s="43">
        <v>7</v>
      </c>
      <c r="H301" s="43">
        <f t="shared" si="4"/>
        <v>0</v>
      </c>
      <c r="I301" s="18"/>
    </row>
    <row r="302" spans="2:9" ht="50.1" customHeight="1" x14ac:dyDescent="0.25">
      <c r="B302" s="15">
        <v>294</v>
      </c>
      <c r="C302" s="24" t="s">
        <v>305</v>
      </c>
      <c r="D302" s="14" t="s">
        <v>392</v>
      </c>
      <c r="E302" s="15" t="s">
        <v>399</v>
      </c>
      <c r="F302" s="38">
        <v>0</v>
      </c>
      <c r="G302" s="41">
        <v>1</v>
      </c>
      <c r="H302" s="43">
        <f t="shared" si="4"/>
        <v>0</v>
      </c>
      <c r="I302" s="18"/>
    </row>
    <row r="303" spans="2:9" ht="50.1" customHeight="1" x14ac:dyDescent="0.25">
      <c r="B303" s="15">
        <v>295</v>
      </c>
      <c r="C303" s="24" t="s">
        <v>306</v>
      </c>
      <c r="D303" s="14" t="s">
        <v>392</v>
      </c>
      <c r="E303" s="15" t="s">
        <v>399</v>
      </c>
      <c r="F303" s="38">
        <v>0</v>
      </c>
      <c r="G303" s="41">
        <v>1</v>
      </c>
      <c r="H303" s="43">
        <f t="shared" si="4"/>
        <v>0</v>
      </c>
      <c r="I303" s="18"/>
    </row>
    <row r="304" spans="2:9" ht="50.1" customHeight="1" x14ac:dyDescent="0.25">
      <c r="B304" s="15">
        <v>296</v>
      </c>
      <c r="C304" s="24" t="s">
        <v>224</v>
      </c>
      <c r="D304" s="14" t="s">
        <v>392</v>
      </c>
      <c r="E304" s="15" t="s">
        <v>399</v>
      </c>
      <c r="F304" s="38">
        <v>0</v>
      </c>
      <c r="G304" s="41">
        <v>1</v>
      </c>
      <c r="H304" s="43">
        <f t="shared" si="4"/>
        <v>0</v>
      </c>
      <c r="I304" s="18"/>
    </row>
    <row r="305" spans="2:9" ht="50.1" customHeight="1" x14ac:dyDescent="0.25">
      <c r="B305" s="15">
        <v>297</v>
      </c>
      <c r="C305" s="24" t="s">
        <v>307</v>
      </c>
      <c r="D305" s="14" t="s">
        <v>392</v>
      </c>
      <c r="E305" s="15" t="s">
        <v>399</v>
      </c>
      <c r="F305" s="38">
        <v>0</v>
      </c>
      <c r="G305" s="41">
        <v>1</v>
      </c>
      <c r="H305" s="43">
        <f t="shared" si="4"/>
        <v>0</v>
      </c>
      <c r="I305" s="18"/>
    </row>
    <row r="306" spans="2:9" ht="50.1" customHeight="1" x14ac:dyDescent="0.25">
      <c r="B306" s="15">
        <v>298</v>
      </c>
      <c r="C306" s="24" t="s">
        <v>308</v>
      </c>
      <c r="D306" s="14" t="s">
        <v>392</v>
      </c>
      <c r="E306" s="15" t="s">
        <v>399</v>
      </c>
      <c r="F306" s="38">
        <v>0</v>
      </c>
      <c r="G306" s="41">
        <v>1</v>
      </c>
      <c r="H306" s="43">
        <f t="shared" si="4"/>
        <v>0</v>
      </c>
      <c r="I306" s="18"/>
    </row>
    <row r="307" spans="2:9" ht="50.1" customHeight="1" x14ac:dyDescent="0.25">
      <c r="B307" s="15">
        <v>299</v>
      </c>
      <c r="C307" s="24" t="s">
        <v>309</v>
      </c>
      <c r="D307" s="14" t="s">
        <v>392</v>
      </c>
      <c r="E307" s="15" t="s">
        <v>399</v>
      </c>
      <c r="F307" s="38">
        <v>0</v>
      </c>
      <c r="G307" s="41">
        <v>1</v>
      </c>
      <c r="H307" s="43">
        <f t="shared" si="4"/>
        <v>0</v>
      </c>
      <c r="I307" s="18"/>
    </row>
    <row r="308" spans="2:9" ht="50.1" customHeight="1" x14ac:dyDescent="0.25">
      <c r="B308" s="15">
        <v>300</v>
      </c>
      <c r="C308" s="24" t="s">
        <v>310</v>
      </c>
      <c r="D308" s="14" t="s">
        <v>392</v>
      </c>
      <c r="E308" s="15" t="s">
        <v>399</v>
      </c>
      <c r="F308" s="38">
        <v>0</v>
      </c>
      <c r="G308" s="41">
        <v>1</v>
      </c>
      <c r="H308" s="43">
        <f t="shared" si="4"/>
        <v>0</v>
      </c>
      <c r="I308" s="18"/>
    </row>
    <row r="309" spans="2:9" ht="50.1" customHeight="1" x14ac:dyDescent="0.25">
      <c r="B309" s="15">
        <v>301</v>
      </c>
      <c r="C309" s="24" t="s">
        <v>311</v>
      </c>
      <c r="D309" s="14" t="s">
        <v>392</v>
      </c>
      <c r="E309" s="15" t="s">
        <v>399</v>
      </c>
      <c r="F309" s="38">
        <v>0</v>
      </c>
      <c r="G309" s="41">
        <v>1</v>
      </c>
      <c r="H309" s="43">
        <f t="shared" si="4"/>
        <v>0</v>
      </c>
      <c r="I309" s="18"/>
    </row>
    <row r="310" spans="2:9" ht="50.1" customHeight="1" x14ac:dyDescent="0.25">
      <c r="B310" s="15">
        <v>302</v>
      </c>
      <c r="C310" s="24" t="s">
        <v>312</v>
      </c>
      <c r="D310" s="14" t="s">
        <v>392</v>
      </c>
      <c r="E310" s="15" t="s">
        <v>399</v>
      </c>
      <c r="F310" s="38">
        <v>0</v>
      </c>
      <c r="G310" s="43">
        <v>42</v>
      </c>
      <c r="H310" s="43">
        <f t="shared" si="4"/>
        <v>0</v>
      </c>
      <c r="I310" s="18"/>
    </row>
    <row r="311" spans="2:9" ht="50.1" customHeight="1" x14ac:dyDescent="0.25">
      <c r="B311" s="15">
        <v>303</v>
      </c>
      <c r="C311" s="24" t="s">
        <v>313</v>
      </c>
      <c r="D311" s="14" t="s">
        <v>392</v>
      </c>
      <c r="E311" s="15" t="s">
        <v>399</v>
      </c>
      <c r="F311" s="38">
        <v>0</v>
      </c>
      <c r="G311" s="41">
        <v>1</v>
      </c>
      <c r="H311" s="43">
        <f t="shared" si="4"/>
        <v>0</v>
      </c>
      <c r="I311" s="18"/>
    </row>
    <row r="312" spans="2:9" ht="50.1" customHeight="1" x14ac:dyDescent="0.25">
      <c r="B312" s="15">
        <v>304</v>
      </c>
      <c r="C312" s="24" t="s">
        <v>314</v>
      </c>
      <c r="D312" s="14" t="s">
        <v>392</v>
      </c>
      <c r="E312" s="15" t="s">
        <v>399</v>
      </c>
      <c r="F312" s="38">
        <v>0</v>
      </c>
      <c r="G312" s="41">
        <v>1</v>
      </c>
      <c r="H312" s="43">
        <f t="shared" si="4"/>
        <v>0</v>
      </c>
      <c r="I312" s="18"/>
    </row>
    <row r="313" spans="2:9" ht="50.1" customHeight="1" x14ac:dyDescent="0.25">
      <c r="B313" s="15">
        <v>305</v>
      </c>
      <c r="C313" s="24" t="s">
        <v>315</v>
      </c>
      <c r="D313" s="14" t="s">
        <v>392</v>
      </c>
      <c r="E313" s="15" t="s">
        <v>429</v>
      </c>
      <c r="F313" s="38">
        <v>0</v>
      </c>
      <c r="G313" s="41">
        <v>1</v>
      </c>
      <c r="H313" s="43">
        <f t="shared" si="4"/>
        <v>0</v>
      </c>
      <c r="I313" s="18"/>
    </row>
    <row r="314" spans="2:9" ht="50.1" customHeight="1" x14ac:dyDescent="0.25">
      <c r="B314" s="15">
        <v>306</v>
      </c>
      <c r="C314" s="24" t="s">
        <v>316</v>
      </c>
      <c r="D314" s="14" t="s">
        <v>392</v>
      </c>
      <c r="E314" s="15" t="s">
        <v>429</v>
      </c>
      <c r="F314" s="38">
        <v>0</v>
      </c>
      <c r="G314" s="41">
        <v>1</v>
      </c>
      <c r="H314" s="43">
        <f t="shared" si="4"/>
        <v>0</v>
      </c>
      <c r="I314" s="18"/>
    </row>
    <row r="315" spans="2:9" ht="50.1" customHeight="1" x14ac:dyDescent="0.25">
      <c r="B315" s="15">
        <v>307</v>
      </c>
      <c r="C315" s="24" t="s">
        <v>317</v>
      </c>
      <c r="D315" s="14" t="s">
        <v>392</v>
      </c>
      <c r="E315" s="15" t="s">
        <v>399</v>
      </c>
      <c r="F315" s="38">
        <v>0</v>
      </c>
      <c r="G315" s="41">
        <v>1</v>
      </c>
      <c r="H315" s="43">
        <f t="shared" si="4"/>
        <v>0</v>
      </c>
      <c r="I315" s="18"/>
    </row>
    <row r="316" spans="2:9" ht="50.1" customHeight="1" x14ac:dyDescent="0.25">
      <c r="B316" s="15">
        <v>308</v>
      </c>
      <c r="C316" s="24" t="s">
        <v>318</v>
      </c>
      <c r="D316" s="14" t="s">
        <v>392</v>
      </c>
      <c r="E316" s="15" t="s">
        <v>399</v>
      </c>
      <c r="F316" s="38">
        <v>0</v>
      </c>
      <c r="G316" s="41">
        <v>1</v>
      </c>
      <c r="H316" s="43">
        <f t="shared" si="4"/>
        <v>0</v>
      </c>
      <c r="I316" s="18"/>
    </row>
    <row r="317" spans="2:9" ht="50.1" customHeight="1" x14ac:dyDescent="0.25">
      <c r="B317" s="15">
        <v>309</v>
      </c>
      <c r="C317" s="24" t="s">
        <v>319</v>
      </c>
      <c r="D317" s="14" t="s">
        <v>392</v>
      </c>
      <c r="E317" s="15" t="s">
        <v>399</v>
      </c>
      <c r="F317" s="38">
        <v>0</v>
      </c>
      <c r="G317" s="43">
        <v>4.8</v>
      </c>
      <c r="H317" s="43">
        <f t="shared" si="4"/>
        <v>0</v>
      </c>
      <c r="I317" s="18"/>
    </row>
    <row r="318" spans="2:9" ht="50.1" customHeight="1" x14ac:dyDescent="0.25">
      <c r="B318" s="15">
        <v>310</v>
      </c>
      <c r="C318" s="24" t="s">
        <v>320</v>
      </c>
      <c r="D318" s="14" t="s">
        <v>392</v>
      </c>
      <c r="E318" s="15" t="s">
        <v>399</v>
      </c>
      <c r="F318" s="38">
        <v>0</v>
      </c>
      <c r="G318" s="43">
        <v>8</v>
      </c>
      <c r="H318" s="43">
        <f t="shared" si="4"/>
        <v>0</v>
      </c>
      <c r="I318" s="18"/>
    </row>
    <row r="319" spans="2:9" ht="50.1" customHeight="1" x14ac:dyDescent="0.25">
      <c r="B319" s="15">
        <v>311</v>
      </c>
      <c r="C319" s="24" t="s">
        <v>185</v>
      </c>
      <c r="D319" s="14" t="s">
        <v>392</v>
      </c>
      <c r="E319" s="15" t="s">
        <v>431</v>
      </c>
      <c r="F319" s="38">
        <v>1</v>
      </c>
      <c r="G319" s="43">
        <f>530</f>
        <v>530</v>
      </c>
      <c r="H319" s="43">
        <f t="shared" si="4"/>
        <v>530</v>
      </c>
      <c r="I319" s="18"/>
    </row>
    <row r="320" spans="2:9" ht="50.1" customHeight="1" x14ac:dyDescent="0.25">
      <c r="B320" s="15">
        <v>312</v>
      </c>
      <c r="C320" s="24" t="s">
        <v>321</v>
      </c>
      <c r="D320" s="14" t="s">
        <v>392</v>
      </c>
      <c r="E320" s="15" t="s">
        <v>403</v>
      </c>
      <c r="F320" s="38">
        <v>0</v>
      </c>
      <c r="G320" s="41">
        <v>1</v>
      </c>
      <c r="H320" s="43">
        <f t="shared" si="4"/>
        <v>0</v>
      </c>
      <c r="I320" s="18"/>
    </row>
    <row r="321" spans="2:9" ht="50.1" customHeight="1" x14ac:dyDescent="0.25">
      <c r="B321" s="15">
        <v>313</v>
      </c>
      <c r="C321" s="24" t="s">
        <v>322</v>
      </c>
      <c r="D321" s="14" t="s">
        <v>392</v>
      </c>
      <c r="E321" s="15" t="s">
        <v>404</v>
      </c>
      <c r="F321" s="38">
        <v>0</v>
      </c>
      <c r="G321" s="41">
        <v>1</v>
      </c>
      <c r="H321" s="43">
        <f t="shared" si="4"/>
        <v>0</v>
      </c>
      <c r="I321" s="18"/>
    </row>
    <row r="322" spans="2:9" ht="50.1" customHeight="1" x14ac:dyDescent="0.25">
      <c r="B322" s="15">
        <v>314</v>
      </c>
      <c r="C322" s="24" t="s">
        <v>323</v>
      </c>
      <c r="D322" s="14" t="s">
        <v>392</v>
      </c>
      <c r="E322" s="15" t="s">
        <v>403</v>
      </c>
      <c r="F322" s="38">
        <v>0</v>
      </c>
      <c r="G322" s="41">
        <v>1</v>
      </c>
      <c r="H322" s="43">
        <f t="shared" si="4"/>
        <v>0</v>
      </c>
      <c r="I322" s="18"/>
    </row>
    <row r="323" spans="2:9" ht="50.1" customHeight="1" x14ac:dyDescent="0.25">
      <c r="B323" s="15">
        <v>315</v>
      </c>
      <c r="C323" s="24" t="s">
        <v>324</v>
      </c>
      <c r="D323" s="14" t="s">
        <v>392</v>
      </c>
      <c r="E323" s="15" t="s">
        <v>403</v>
      </c>
      <c r="F323" s="38">
        <v>0</v>
      </c>
      <c r="G323" s="41">
        <v>1</v>
      </c>
      <c r="H323" s="43">
        <f t="shared" si="4"/>
        <v>0</v>
      </c>
      <c r="I323" s="18"/>
    </row>
    <row r="324" spans="2:9" ht="50.1" customHeight="1" x14ac:dyDescent="0.25">
      <c r="B324" s="15">
        <v>316</v>
      </c>
      <c r="C324" s="24" t="s">
        <v>325</v>
      </c>
      <c r="D324" s="14" t="s">
        <v>392</v>
      </c>
      <c r="E324" s="15" t="s">
        <v>403</v>
      </c>
      <c r="F324" s="38">
        <v>0</v>
      </c>
      <c r="G324" s="41">
        <v>1</v>
      </c>
      <c r="H324" s="43">
        <f t="shared" si="4"/>
        <v>0</v>
      </c>
      <c r="I324" s="18"/>
    </row>
    <row r="325" spans="2:9" ht="50.1" customHeight="1" x14ac:dyDescent="0.25">
      <c r="B325" s="15">
        <v>317</v>
      </c>
      <c r="C325" s="24" t="s">
        <v>326</v>
      </c>
      <c r="D325" s="14" t="s">
        <v>392</v>
      </c>
      <c r="E325" s="15" t="s">
        <v>403</v>
      </c>
      <c r="F325" s="38">
        <v>0</v>
      </c>
      <c r="G325" s="41">
        <v>1</v>
      </c>
      <c r="H325" s="43">
        <f t="shared" si="4"/>
        <v>0</v>
      </c>
      <c r="I325" s="18"/>
    </row>
    <row r="326" spans="2:9" ht="50.1" customHeight="1" x14ac:dyDescent="0.25">
      <c r="B326" s="15">
        <v>318</v>
      </c>
      <c r="C326" s="24" t="s">
        <v>327</v>
      </c>
      <c r="D326" s="14" t="s">
        <v>392</v>
      </c>
      <c r="E326" s="15" t="s">
        <v>403</v>
      </c>
      <c r="F326" s="38">
        <v>0</v>
      </c>
      <c r="G326" s="41">
        <v>1</v>
      </c>
      <c r="H326" s="43">
        <f t="shared" si="4"/>
        <v>0</v>
      </c>
      <c r="I326" s="18"/>
    </row>
    <row r="327" spans="2:9" ht="50.1" customHeight="1" x14ac:dyDescent="0.25">
      <c r="B327" s="15">
        <v>319</v>
      </c>
      <c r="C327" s="24" t="s">
        <v>204</v>
      </c>
      <c r="D327" s="14" t="s">
        <v>392</v>
      </c>
      <c r="E327" s="15" t="s">
        <v>412</v>
      </c>
      <c r="F327" s="38">
        <v>0</v>
      </c>
      <c r="G327" s="41">
        <v>1</v>
      </c>
      <c r="H327" s="43">
        <f t="shared" si="4"/>
        <v>0</v>
      </c>
      <c r="I327" s="18"/>
    </row>
    <row r="328" spans="2:9" ht="50.1" customHeight="1" x14ac:dyDescent="0.25">
      <c r="B328" s="15">
        <v>320</v>
      </c>
      <c r="C328" s="24" t="s">
        <v>328</v>
      </c>
      <c r="D328" s="14" t="s">
        <v>392</v>
      </c>
      <c r="E328" s="15" t="s">
        <v>399</v>
      </c>
      <c r="F328" s="38">
        <v>0</v>
      </c>
      <c r="G328" s="41">
        <v>1</v>
      </c>
      <c r="H328" s="43">
        <f t="shared" si="4"/>
        <v>0</v>
      </c>
      <c r="I328" s="18"/>
    </row>
    <row r="329" spans="2:9" ht="50.1" customHeight="1" x14ac:dyDescent="0.25">
      <c r="B329" s="15">
        <v>321</v>
      </c>
      <c r="C329" s="24" t="s">
        <v>329</v>
      </c>
      <c r="D329" s="14" t="s">
        <v>392</v>
      </c>
      <c r="E329" s="15" t="s">
        <v>399</v>
      </c>
      <c r="F329" s="38">
        <v>0</v>
      </c>
      <c r="G329" s="41">
        <v>1</v>
      </c>
      <c r="H329" s="43">
        <f t="shared" si="4"/>
        <v>0</v>
      </c>
      <c r="I329" s="18"/>
    </row>
    <row r="330" spans="2:9" ht="50.1" customHeight="1" x14ac:dyDescent="0.25">
      <c r="B330" s="15">
        <v>322</v>
      </c>
      <c r="C330" s="24" t="s">
        <v>330</v>
      </c>
      <c r="D330" s="14" t="s">
        <v>392</v>
      </c>
      <c r="E330" s="15" t="s">
        <v>430</v>
      </c>
      <c r="F330" s="38">
        <v>0</v>
      </c>
      <c r="G330" s="41">
        <v>1</v>
      </c>
      <c r="H330" s="43">
        <f t="shared" ref="H330:H392" si="5">F330*G330</f>
        <v>0</v>
      </c>
      <c r="I330" s="18"/>
    </row>
    <row r="331" spans="2:9" ht="50.1" customHeight="1" x14ac:dyDescent="0.25">
      <c r="B331" s="15">
        <v>323</v>
      </c>
      <c r="C331" s="24" t="s">
        <v>331</v>
      </c>
      <c r="D331" s="14" t="s">
        <v>392</v>
      </c>
      <c r="E331" s="15" t="s">
        <v>399</v>
      </c>
      <c r="F331" s="38">
        <v>0</v>
      </c>
      <c r="G331" s="41">
        <v>1</v>
      </c>
      <c r="H331" s="43">
        <f t="shared" si="5"/>
        <v>0</v>
      </c>
      <c r="I331" s="18"/>
    </row>
    <row r="332" spans="2:9" ht="50.1" customHeight="1" x14ac:dyDescent="0.25">
      <c r="B332" s="15">
        <v>324</v>
      </c>
      <c r="C332" s="24" t="s">
        <v>332</v>
      </c>
      <c r="D332" s="14" t="s">
        <v>392</v>
      </c>
      <c r="E332" s="15" t="s">
        <v>403</v>
      </c>
      <c r="F332" s="38">
        <v>0</v>
      </c>
      <c r="G332" s="43">
        <v>42</v>
      </c>
      <c r="H332" s="43">
        <f t="shared" si="5"/>
        <v>0</v>
      </c>
      <c r="I332" s="18"/>
    </row>
    <row r="333" spans="2:9" ht="50.1" customHeight="1" x14ac:dyDescent="0.25">
      <c r="B333" s="15">
        <v>325</v>
      </c>
      <c r="C333" s="24" t="s">
        <v>186</v>
      </c>
      <c r="D333" s="14" t="s">
        <v>392</v>
      </c>
      <c r="E333" s="15" t="s">
        <v>409</v>
      </c>
      <c r="F333" s="38">
        <v>2</v>
      </c>
      <c r="G333" s="41">
        <v>4</v>
      </c>
      <c r="H333" s="43">
        <f t="shared" si="5"/>
        <v>8</v>
      </c>
      <c r="I333" s="18"/>
    </row>
    <row r="334" spans="2:9" ht="50.1" customHeight="1" x14ac:dyDescent="0.25">
      <c r="B334" s="15">
        <v>326</v>
      </c>
      <c r="C334" s="24" t="s">
        <v>333</v>
      </c>
      <c r="D334" s="14" t="s">
        <v>392</v>
      </c>
      <c r="E334" s="15" t="s">
        <v>403</v>
      </c>
      <c r="F334" s="38">
        <v>0</v>
      </c>
      <c r="G334" s="41"/>
      <c r="H334" s="43">
        <f t="shared" si="5"/>
        <v>0</v>
      </c>
      <c r="I334" s="18"/>
    </row>
    <row r="335" spans="2:9" ht="50.1" customHeight="1" x14ac:dyDescent="0.25">
      <c r="B335" s="15">
        <v>327</v>
      </c>
      <c r="C335" s="24" t="s">
        <v>334</v>
      </c>
      <c r="D335" s="14" t="s">
        <v>392</v>
      </c>
      <c r="E335" s="15" t="s">
        <v>416</v>
      </c>
      <c r="F335" s="38">
        <v>0</v>
      </c>
      <c r="G335" s="41"/>
      <c r="H335" s="43">
        <f t="shared" si="5"/>
        <v>0</v>
      </c>
      <c r="I335" s="18"/>
    </row>
    <row r="336" spans="2:9" ht="50.1" customHeight="1" x14ac:dyDescent="0.25">
      <c r="B336" s="15">
        <v>328</v>
      </c>
      <c r="C336" s="24" t="s">
        <v>335</v>
      </c>
      <c r="D336" s="14" t="s">
        <v>392</v>
      </c>
      <c r="E336" s="15" t="s">
        <v>399</v>
      </c>
      <c r="F336" s="38">
        <v>0</v>
      </c>
      <c r="G336" s="41"/>
      <c r="H336" s="43">
        <f t="shared" si="5"/>
        <v>0</v>
      </c>
      <c r="I336" s="18"/>
    </row>
    <row r="337" spans="2:9" ht="50.1" customHeight="1" x14ac:dyDescent="0.25">
      <c r="B337" s="15">
        <v>329</v>
      </c>
      <c r="C337" s="24" t="s">
        <v>336</v>
      </c>
      <c r="D337" s="14" t="s">
        <v>392</v>
      </c>
      <c r="E337" s="15" t="s">
        <v>399</v>
      </c>
      <c r="F337" s="38">
        <v>0</v>
      </c>
      <c r="G337" s="41"/>
      <c r="H337" s="43">
        <f t="shared" si="5"/>
        <v>0</v>
      </c>
      <c r="I337" s="18"/>
    </row>
    <row r="338" spans="2:9" ht="50.1" customHeight="1" x14ac:dyDescent="0.25">
      <c r="B338" s="15">
        <v>330</v>
      </c>
      <c r="C338" s="24" t="s">
        <v>337</v>
      </c>
      <c r="D338" s="14" t="s">
        <v>392</v>
      </c>
      <c r="E338" s="15" t="s">
        <v>399</v>
      </c>
      <c r="F338" s="38">
        <v>0</v>
      </c>
      <c r="G338" s="41"/>
      <c r="H338" s="43">
        <f t="shared" si="5"/>
        <v>0</v>
      </c>
      <c r="I338" s="18"/>
    </row>
    <row r="339" spans="2:9" ht="50.1" customHeight="1" x14ac:dyDescent="0.25">
      <c r="B339" s="15">
        <v>331</v>
      </c>
      <c r="C339" s="24" t="s">
        <v>338</v>
      </c>
      <c r="D339" s="14" t="s">
        <v>392</v>
      </c>
      <c r="E339" s="15" t="s">
        <v>432</v>
      </c>
      <c r="F339" s="38">
        <v>0</v>
      </c>
      <c r="G339" s="41"/>
      <c r="H339" s="43">
        <f t="shared" si="5"/>
        <v>0</v>
      </c>
      <c r="I339" s="18"/>
    </row>
    <row r="340" spans="2:9" ht="50.1" customHeight="1" x14ac:dyDescent="0.25">
      <c r="B340" s="15">
        <v>332</v>
      </c>
      <c r="C340" s="24" t="s">
        <v>339</v>
      </c>
      <c r="D340" s="14" t="s">
        <v>392</v>
      </c>
      <c r="E340" s="15" t="s">
        <v>413</v>
      </c>
      <c r="F340" s="38">
        <v>8</v>
      </c>
      <c r="G340" s="44">
        <v>17.399999999999999</v>
      </c>
      <c r="H340" s="43">
        <f t="shared" si="5"/>
        <v>139.19999999999999</v>
      </c>
      <c r="I340" s="18"/>
    </row>
    <row r="341" spans="2:9" ht="50.1" customHeight="1" x14ac:dyDescent="0.25">
      <c r="B341" s="15">
        <v>333</v>
      </c>
      <c r="C341" s="24" t="s">
        <v>340</v>
      </c>
      <c r="D341" s="14" t="s">
        <v>392</v>
      </c>
      <c r="E341" s="15" t="s">
        <v>399</v>
      </c>
      <c r="F341" s="38">
        <v>0</v>
      </c>
      <c r="G341" s="43">
        <v>6.5</v>
      </c>
      <c r="H341" s="43">
        <f t="shared" si="5"/>
        <v>0</v>
      </c>
      <c r="I341" s="18"/>
    </row>
    <row r="342" spans="2:9" ht="50.1" customHeight="1" x14ac:dyDescent="0.25">
      <c r="B342" s="15">
        <v>334</v>
      </c>
      <c r="C342" s="24" t="s">
        <v>341</v>
      </c>
      <c r="D342" s="14" t="s">
        <v>392</v>
      </c>
      <c r="E342" s="15" t="s">
        <v>399</v>
      </c>
      <c r="F342" s="38">
        <v>0</v>
      </c>
      <c r="G342" s="43">
        <v>10</v>
      </c>
      <c r="H342" s="43">
        <f t="shared" si="5"/>
        <v>0</v>
      </c>
      <c r="I342" s="18"/>
    </row>
    <row r="343" spans="2:9" ht="50.1" customHeight="1" x14ac:dyDescent="0.25">
      <c r="B343" s="15">
        <v>335</v>
      </c>
      <c r="C343" s="24" t="s">
        <v>342</v>
      </c>
      <c r="D343" s="14" t="s">
        <v>392</v>
      </c>
      <c r="E343" s="15" t="s">
        <v>399</v>
      </c>
      <c r="F343" s="38">
        <v>0</v>
      </c>
      <c r="G343" s="41"/>
      <c r="H343" s="43">
        <f t="shared" si="5"/>
        <v>0</v>
      </c>
      <c r="I343" s="18"/>
    </row>
    <row r="344" spans="2:9" ht="50.1" customHeight="1" x14ac:dyDescent="0.25">
      <c r="B344" s="15">
        <v>336</v>
      </c>
      <c r="C344" s="24" t="s">
        <v>343</v>
      </c>
      <c r="D344" s="14" t="s">
        <v>392</v>
      </c>
      <c r="E344" s="15" t="s">
        <v>399</v>
      </c>
      <c r="F344" s="38">
        <v>0</v>
      </c>
      <c r="G344" s="41"/>
      <c r="H344" s="43">
        <f t="shared" si="5"/>
        <v>0</v>
      </c>
      <c r="I344" s="18"/>
    </row>
    <row r="345" spans="2:9" ht="50.1" customHeight="1" x14ac:dyDescent="0.25">
      <c r="B345" s="15">
        <v>337</v>
      </c>
      <c r="C345" s="24" t="s">
        <v>344</v>
      </c>
      <c r="D345" s="14" t="s">
        <v>392</v>
      </c>
      <c r="E345" s="15" t="s">
        <v>433</v>
      </c>
      <c r="F345" s="38">
        <v>0</v>
      </c>
      <c r="G345" s="41"/>
      <c r="H345" s="43">
        <f t="shared" si="5"/>
        <v>0</v>
      </c>
      <c r="I345" s="18"/>
    </row>
    <row r="346" spans="2:9" ht="50.1" customHeight="1" x14ac:dyDescent="0.25">
      <c r="B346" s="15">
        <v>338</v>
      </c>
      <c r="C346" s="24" t="s">
        <v>345</v>
      </c>
      <c r="D346" s="14" t="s">
        <v>392</v>
      </c>
      <c r="E346" s="15" t="s">
        <v>416</v>
      </c>
      <c r="F346" s="38">
        <v>0</v>
      </c>
      <c r="G346" s="41"/>
      <c r="H346" s="43">
        <f t="shared" si="5"/>
        <v>0</v>
      </c>
      <c r="I346" s="18"/>
    </row>
    <row r="347" spans="2:9" ht="50.1" customHeight="1" x14ac:dyDescent="0.25">
      <c r="B347" s="15">
        <v>339</v>
      </c>
      <c r="C347" s="24" t="s">
        <v>346</v>
      </c>
      <c r="D347" s="14" t="s">
        <v>392</v>
      </c>
      <c r="E347" s="15" t="s">
        <v>416</v>
      </c>
      <c r="F347" s="38">
        <v>0</v>
      </c>
      <c r="G347" s="41"/>
      <c r="H347" s="43">
        <f t="shared" si="5"/>
        <v>0</v>
      </c>
      <c r="I347" s="18"/>
    </row>
    <row r="348" spans="2:9" ht="50.1" customHeight="1" x14ac:dyDescent="0.25">
      <c r="B348" s="15">
        <v>340</v>
      </c>
      <c r="C348" s="24" t="s">
        <v>347</v>
      </c>
      <c r="D348" s="14" t="s">
        <v>392</v>
      </c>
      <c r="E348" s="15" t="s">
        <v>409</v>
      </c>
      <c r="F348" s="38">
        <v>0</v>
      </c>
      <c r="G348" s="41"/>
      <c r="H348" s="43">
        <f t="shared" si="5"/>
        <v>0</v>
      </c>
      <c r="I348" s="18"/>
    </row>
    <row r="349" spans="2:9" ht="50.1" customHeight="1" x14ac:dyDescent="0.25">
      <c r="B349" s="15">
        <v>341</v>
      </c>
      <c r="C349" s="24" t="s">
        <v>207</v>
      </c>
      <c r="D349" s="14" t="s">
        <v>392</v>
      </c>
      <c r="E349" s="15" t="s">
        <v>434</v>
      </c>
      <c r="F349" s="38">
        <v>1</v>
      </c>
      <c r="G349" s="41">
        <v>1</v>
      </c>
      <c r="H349" s="43">
        <f t="shared" si="5"/>
        <v>1</v>
      </c>
      <c r="I349" s="18"/>
    </row>
    <row r="350" spans="2:9" ht="50.1" customHeight="1" x14ac:dyDescent="0.25">
      <c r="B350" s="15">
        <v>342</v>
      </c>
      <c r="C350" s="33" t="s">
        <v>348</v>
      </c>
      <c r="D350" s="14" t="s">
        <v>393</v>
      </c>
      <c r="E350" s="15" t="s">
        <v>435</v>
      </c>
      <c r="F350" s="38">
        <v>0</v>
      </c>
      <c r="G350" s="41"/>
      <c r="H350" s="43">
        <f t="shared" si="5"/>
        <v>0</v>
      </c>
      <c r="I350" s="18"/>
    </row>
    <row r="351" spans="2:9" ht="50.1" customHeight="1" x14ac:dyDescent="0.25">
      <c r="B351" s="15">
        <v>343</v>
      </c>
      <c r="C351" s="33" t="s">
        <v>349</v>
      </c>
      <c r="D351" s="14" t="s">
        <v>393</v>
      </c>
      <c r="E351" s="15" t="s">
        <v>435</v>
      </c>
      <c r="F351" s="38">
        <v>0</v>
      </c>
      <c r="G351" s="41"/>
      <c r="H351" s="43">
        <f t="shared" si="5"/>
        <v>0</v>
      </c>
      <c r="I351" s="18"/>
    </row>
    <row r="352" spans="2:9" ht="50.1" customHeight="1" x14ac:dyDescent="0.25">
      <c r="B352" s="15">
        <v>344</v>
      </c>
      <c r="C352" s="33" t="s">
        <v>350</v>
      </c>
      <c r="D352" s="15" t="s">
        <v>393</v>
      </c>
      <c r="E352" s="15" t="s">
        <v>435</v>
      </c>
      <c r="F352" s="38">
        <v>0</v>
      </c>
      <c r="G352" s="41"/>
      <c r="H352" s="43">
        <f t="shared" si="5"/>
        <v>0</v>
      </c>
      <c r="I352" s="18"/>
    </row>
    <row r="353" spans="2:9" ht="50.1" customHeight="1" x14ac:dyDescent="0.25">
      <c r="B353" s="15">
        <v>345</v>
      </c>
      <c r="C353" s="33" t="s">
        <v>351</v>
      </c>
      <c r="D353" s="15" t="s">
        <v>393</v>
      </c>
      <c r="E353" s="15" t="s">
        <v>435</v>
      </c>
      <c r="F353" s="38">
        <v>0</v>
      </c>
      <c r="G353" s="41"/>
      <c r="H353" s="43">
        <f t="shared" si="5"/>
        <v>0</v>
      </c>
      <c r="I353" s="18"/>
    </row>
    <row r="354" spans="2:9" ht="50.1" customHeight="1" x14ac:dyDescent="0.25">
      <c r="B354" s="15">
        <v>346</v>
      </c>
      <c r="C354" s="33" t="s">
        <v>352</v>
      </c>
      <c r="D354" s="32" t="s">
        <v>397</v>
      </c>
      <c r="E354" s="15" t="s">
        <v>435</v>
      </c>
      <c r="F354" s="38">
        <v>0</v>
      </c>
      <c r="G354" s="41"/>
      <c r="H354" s="43">
        <f t="shared" si="5"/>
        <v>0</v>
      </c>
      <c r="I354" s="18"/>
    </row>
    <row r="355" spans="2:9" ht="50.1" customHeight="1" x14ac:dyDescent="0.25">
      <c r="B355" s="15">
        <v>347</v>
      </c>
      <c r="C355" s="33" t="s">
        <v>353</v>
      </c>
      <c r="D355" s="32" t="s">
        <v>392</v>
      </c>
      <c r="E355" s="15" t="s">
        <v>435</v>
      </c>
      <c r="F355" s="38">
        <v>0</v>
      </c>
      <c r="G355" s="41"/>
      <c r="H355" s="43">
        <f t="shared" si="5"/>
        <v>0</v>
      </c>
      <c r="I355" s="18"/>
    </row>
    <row r="356" spans="2:9" ht="50.1" customHeight="1" x14ac:dyDescent="0.25">
      <c r="B356" s="15">
        <v>348</v>
      </c>
      <c r="C356" s="33" t="s">
        <v>354</v>
      </c>
      <c r="D356" s="32" t="s">
        <v>392</v>
      </c>
      <c r="E356" s="15" t="s">
        <v>435</v>
      </c>
      <c r="F356" s="38">
        <v>0</v>
      </c>
      <c r="G356" s="41"/>
      <c r="H356" s="43">
        <f t="shared" si="5"/>
        <v>0</v>
      </c>
      <c r="I356" s="18"/>
    </row>
    <row r="357" spans="2:9" ht="50.1" customHeight="1" x14ac:dyDescent="0.25">
      <c r="B357" s="15">
        <v>349</v>
      </c>
      <c r="C357" s="33" t="s">
        <v>355</v>
      </c>
      <c r="D357" s="32" t="s">
        <v>392</v>
      </c>
      <c r="E357" s="15" t="s">
        <v>435</v>
      </c>
      <c r="F357" s="38">
        <v>0</v>
      </c>
      <c r="G357" s="41"/>
      <c r="H357" s="43">
        <f t="shared" si="5"/>
        <v>0</v>
      </c>
      <c r="I357" s="18"/>
    </row>
    <row r="358" spans="2:9" ht="50.1" customHeight="1" x14ac:dyDescent="0.25">
      <c r="B358" s="15">
        <v>350</v>
      </c>
      <c r="C358" s="30" t="s">
        <v>356</v>
      </c>
      <c r="D358" s="32" t="s">
        <v>397</v>
      </c>
      <c r="E358" s="15" t="s">
        <v>435</v>
      </c>
      <c r="F358" s="38">
        <v>0</v>
      </c>
      <c r="G358" s="41"/>
      <c r="H358" s="43">
        <f t="shared" si="5"/>
        <v>0</v>
      </c>
      <c r="I358" s="18"/>
    </row>
    <row r="359" spans="2:9" ht="50.1" customHeight="1" x14ac:dyDescent="0.25">
      <c r="B359" s="15">
        <v>351</v>
      </c>
      <c r="C359" s="30" t="s">
        <v>357</v>
      </c>
      <c r="D359" s="32" t="s">
        <v>392</v>
      </c>
      <c r="E359" s="15" t="s">
        <v>435</v>
      </c>
      <c r="F359" s="38">
        <v>0</v>
      </c>
      <c r="G359" s="41"/>
      <c r="H359" s="43">
        <f t="shared" si="5"/>
        <v>0</v>
      </c>
      <c r="I359" s="18"/>
    </row>
    <row r="360" spans="2:9" ht="50.1" customHeight="1" x14ac:dyDescent="0.25">
      <c r="B360" s="15">
        <v>352</v>
      </c>
      <c r="C360" s="30" t="s">
        <v>358</v>
      </c>
      <c r="D360" s="32" t="s">
        <v>392</v>
      </c>
      <c r="E360" s="15" t="s">
        <v>435</v>
      </c>
      <c r="F360" s="38">
        <v>0</v>
      </c>
      <c r="G360" s="41"/>
      <c r="H360" s="43">
        <f t="shared" si="5"/>
        <v>0</v>
      </c>
      <c r="I360" s="18"/>
    </row>
    <row r="361" spans="2:9" ht="50.1" customHeight="1" x14ac:dyDescent="0.25">
      <c r="B361" s="15">
        <v>353</v>
      </c>
      <c r="C361" s="30" t="s">
        <v>359</v>
      </c>
      <c r="D361" s="32" t="s">
        <v>392</v>
      </c>
      <c r="E361" s="15" t="s">
        <v>435</v>
      </c>
      <c r="F361" s="38">
        <v>0</v>
      </c>
      <c r="G361" s="41"/>
      <c r="H361" s="43">
        <f t="shared" si="5"/>
        <v>0</v>
      </c>
      <c r="I361" s="18"/>
    </row>
    <row r="362" spans="2:9" ht="50.1" customHeight="1" x14ac:dyDescent="0.25">
      <c r="B362" s="15">
        <v>354</v>
      </c>
      <c r="C362" s="30" t="s">
        <v>360</v>
      </c>
      <c r="D362" s="32" t="s">
        <v>392</v>
      </c>
      <c r="E362" s="15" t="s">
        <v>416</v>
      </c>
      <c r="F362" s="38">
        <v>0</v>
      </c>
      <c r="G362" s="41"/>
      <c r="H362" s="43">
        <f t="shared" si="5"/>
        <v>0</v>
      </c>
      <c r="I362" s="18"/>
    </row>
    <row r="363" spans="2:9" ht="50.1" customHeight="1" x14ac:dyDescent="0.25">
      <c r="B363" s="14">
        <v>355</v>
      </c>
      <c r="C363" s="30" t="s">
        <v>361</v>
      </c>
      <c r="D363" s="32" t="s">
        <v>392</v>
      </c>
      <c r="E363" s="15" t="s">
        <v>434</v>
      </c>
      <c r="F363" s="38">
        <v>0</v>
      </c>
      <c r="G363" s="41"/>
      <c r="H363" s="43">
        <f t="shared" si="5"/>
        <v>0</v>
      </c>
      <c r="I363" s="18"/>
    </row>
    <row r="364" spans="2:9" ht="50.1" customHeight="1" x14ac:dyDescent="0.25">
      <c r="B364" s="15">
        <v>356</v>
      </c>
      <c r="C364" s="34" t="s">
        <v>362</v>
      </c>
      <c r="D364" s="32" t="s">
        <v>392</v>
      </c>
      <c r="E364" s="15" t="s">
        <v>435</v>
      </c>
      <c r="F364" s="38">
        <v>26</v>
      </c>
      <c r="G364" s="43">
        <v>35</v>
      </c>
      <c r="H364" s="43">
        <f t="shared" si="5"/>
        <v>910</v>
      </c>
      <c r="I364" s="18"/>
    </row>
    <row r="365" spans="2:9" ht="50.1" customHeight="1" x14ac:dyDescent="0.25">
      <c r="B365" s="15">
        <v>357</v>
      </c>
      <c r="C365" s="31" t="s">
        <v>363</v>
      </c>
      <c r="D365" s="32" t="s">
        <v>392</v>
      </c>
      <c r="E365" s="15" t="s">
        <v>435</v>
      </c>
      <c r="F365" s="38">
        <v>30</v>
      </c>
      <c r="G365" s="43">
        <v>11.45</v>
      </c>
      <c r="H365" s="43">
        <f t="shared" si="5"/>
        <v>343.5</v>
      </c>
      <c r="I365" s="18"/>
    </row>
    <row r="366" spans="2:9" ht="50.1" customHeight="1" x14ac:dyDescent="0.25">
      <c r="B366" s="15">
        <v>358</v>
      </c>
      <c r="C366" s="31" t="s">
        <v>364</v>
      </c>
      <c r="D366" s="32" t="s">
        <v>392</v>
      </c>
      <c r="E366" s="15" t="s">
        <v>435</v>
      </c>
      <c r="F366" s="38">
        <v>20</v>
      </c>
      <c r="G366" s="43">
        <v>21.75</v>
      </c>
      <c r="H366" s="43">
        <f t="shared" si="5"/>
        <v>435</v>
      </c>
      <c r="I366" s="18"/>
    </row>
    <row r="367" spans="2:9" ht="50.1" customHeight="1" x14ac:dyDescent="0.25">
      <c r="B367" s="15">
        <v>359</v>
      </c>
      <c r="C367" s="31" t="s">
        <v>365</v>
      </c>
      <c r="D367" s="32" t="s">
        <v>392</v>
      </c>
      <c r="E367" s="15" t="s">
        <v>435</v>
      </c>
      <c r="F367" s="38">
        <v>16</v>
      </c>
      <c r="G367" s="43">
        <v>21.25</v>
      </c>
      <c r="H367" s="43">
        <f t="shared" si="5"/>
        <v>340</v>
      </c>
      <c r="I367" s="18"/>
    </row>
    <row r="368" spans="2:9" ht="50.1" customHeight="1" x14ac:dyDescent="0.25">
      <c r="B368" s="15">
        <v>360</v>
      </c>
      <c r="C368" s="31" t="s">
        <v>366</v>
      </c>
      <c r="D368" s="32" t="s">
        <v>392</v>
      </c>
      <c r="E368" s="15" t="s">
        <v>435</v>
      </c>
      <c r="F368" s="38">
        <v>28</v>
      </c>
      <c r="G368" s="43">
        <v>10.85</v>
      </c>
      <c r="H368" s="43">
        <f t="shared" si="5"/>
        <v>303.8</v>
      </c>
      <c r="I368" s="18"/>
    </row>
    <row r="369" spans="2:9" ht="50.1" customHeight="1" x14ac:dyDescent="0.25">
      <c r="B369" s="15">
        <v>361</v>
      </c>
      <c r="C369" s="31" t="s">
        <v>367</v>
      </c>
      <c r="D369" s="32" t="s">
        <v>392</v>
      </c>
      <c r="E369" s="15" t="s">
        <v>435</v>
      </c>
      <c r="F369" s="38">
        <v>36</v>
      </c>
      <c r="G369" s="43">
        <v>12.3</v>
      </c>
      <c r="H369" s="43">
        <f t="shared" si="5"/>
        <v>442.8</v>
      </c>
      <c r="I369" s="18"/>
    </row>
    <row r="370" spans="2:9" ht="50.1" customHeight="1" x14ac:dyDescent="0.25">
      <c r="B370" s="15">
        <v>362</v>
      </c>
      <c r="C370" s="31" t="s">
        <v>368</v>
      </c>
      <c r="D370" s="32" t="s">
        <v>392</v>
      </c>
      <c r="E370" s="15" t="s">
        <v>435</v>
      </c>
      <c r="F370" s="38">
        <v>40</v>
      </c>
      <c r="G370" s="43">
        <v>25.95</v>
      </c>
      <c r="H370" s="43">
        <f t="shared" si="5"/>
        <v>1038</v>
      </c>
      <c r="I370" s="18"/>
    </row>
    <row r="371" spans="2:9" ht="50.1" customHeight="1" x14ac:dyDescent="0.25">
      <c r="B371" s="15">
        <v>363</v>
      </c>
      <c r="C371" s="31" t="s">
        <v>369</v>
      </c>
      <c r="D371" s="32" t="s">
        <v>392</v>
      </c>
      <c r="E371" s="15" t="s">
        <v>435</v>
      </c>
      <c r="F371" s="38">
        <v>47</v>
      </c>
      <c r="G371" s="43">
        <v>40.950000000000003</v>
      </c>
      <c r="H371" s="43">
        <f t="shared" si="5"/>
        <v>1924.65</v>
      </c>
      <c r="I371" s="18"/>
    </row>
    <row r="372" spans="2:9" ht="50.1" customHeight="1" x14ac:dyDescent="0.25">
      <c r="B372" s="15">
        <v>364</v>
      </c>
      <c r="C372" s="31" t="s">
        <v>370</v>
      </c>
      <c r="D372" s="32" t="s">
        <v>392</v>
      </c>
      <c r="E372" s="15" t="s">
        <v>435</v>
      </c>
      <c r="F372" s="38">
        <v>50</v>
      </c>
      <c r="G372" s="43">
        <v>43.95</v>
      </c>
      <c r="H372" s="43">
        <f t="shared" si="5"/>
        <v>2197.5</v>
      </c>
      <c r="I372" s="18"/>
    </row>
    <row r="373" spans="2:9" ht="50.1" customHeight="1" x14ac:dyDescent="0.25">
      <c r="B373" s="15">
        <v>365</v>
      </c>
      <c r="C373" s="35" t="s">
        <v>371</v>
      </c>
      <c r="D373" s="32" t="s">
        <v>392</v>
      </c>
      <c r="E373" s="15" t="s">
        <v>435</v>
      </c>
      <c r="F373" s="38">
        <v>37</v>
      </c>
      <c r="G373" s="43">
        <v>4.95</v>
      </c>
      <c r="H373" s="43">
        <f t="shared" si="5"/>
        <v>183.15</v>
      </c>
      <c r="I373" s="18"/>
    </row>
    <row r="374" spans="2:9" ht="50.1" customHeight="1" x14ac:dyDescent="0.25">
      <c r="B374" s="15">
        <v>366</v>
      </c>
      <c r="C374" s="36" t="s">
        <v>372</v>
      </c>
      <c r="D374" s="32" t="s">
        <v>392</v>
      </c>
      <c r="E374" s="15" t="s">
        <v>416</v>
      </c>
      <c r="F374" s="38">
        <v>0</v>
      </c>
      <c r="G374" s="41">
        <v>1</v>
      </c>
      <c r="H374" s="43">
        <f t="shared" si="5"/>
        <v>0</v>
      </c>
      <c r="I374" s="18"/>
    </row>
    <row r="375" spans="2:9" ht="50.1" customHeight="1" x14ac:dyDescent="0.25">
      <c r="B375" s="15">
        <v>367</v>
      </c>
      <c r="C375" s="36" t="s">
        <v>373</v>
      </c>
      <c r="D375" s="32" t="s">
        <v>392</v>
      </c>
      <c r="E375" s="15"/>
      <c r="F375" s="38">
        <v>0</v>
      </c>
      <c r="G375" s="41">
        <v>1</v>
      </c>
      <c r="H375" s="43">
        <f t="shared" si="5"/>
        <v>0</v>
      </c>
      <c r="I375" s="18"/>
    </row>
    <row r="376" spans="2:9" ht="50.1" customHeight="1" x14ac:dyDescent="0.25">
      <c r="B376" s="15">
        <v>368</v>
      </c>
      <c r="C376" s="37" t="s">
        <v>374</v>
      </c>
      <c r="D376" s="32" t="s">
        <v>392</v>
      </c>
      <c r="E376" s="15"/>
      <c r="F376" s="38">
        <v>0</v>
      </c>
      <c r="G376" s="41">
        <v>1</v>
      </c>
      <c r="H376" s="43">
        <f t="shared" si="5"/>
        <v>0</v>
      </c>
      <c r="I376" s="18"/>
    </row>
    <row r="377" spans="2:9" ht="50.1" customHeight="1" x14ac:dyDescent="0.25">
      <c r="B377" s="15">
        <v>369</v>
      </c>
      <c r="C377" s="37" t="s">
        <v>375</v>
      </c>
      <c r="D377" s="32" t="s">
        <v>392</v>
      </c>
      <c r="E377" s="15" t="s">
        <v>435</v>
      </c>
      <c r="F377" s="38">
        <v>10</v>
      </c>
      <c r="G377" s="39">
        <v>49.25</v>
      </c>
      <c r="H377" s="43">
        <f t="shared" si="5"/>
        <v>492.5</v>
      </c>
      <c r="I377" s="18"/>
    </row>
    <row r="378" spans="2:9" ht="50.1" customHeight="1" x14ac:dyDescent="0.25">
      <c r="B378" s="15">
        <v>370</v>
      </c>
      <c r="C378" s="36" t="s">
        <v>376</v>
      </c>
      <c r="D378" s="32" t="s">
        <v>392</v>
      </c>
      <c r="E378" s="15" t="s">
        <v>435</v>
      </c>
      <c r="F378" s="38">
        <v>26</v>
      </c>
      <c r="G378" s="43">
        <v>10.4</v>
      </c>
      <c r="H378" s="43">
        <f t="shared" si="5"/>
        <v>270.40000000000003</v>
      </c>
      <c r="I378" s="18"/>
    </row>
    <row r="379" spans="2:9" ht="50.1" customHeight="1" x14ac:dyDescent="0.25">
      <c r="B379" s="15">
        <v>371</v>
      </c>
      <c r="C379" s="35" t="s">
        <v>377</v>
      </c>
      <c r="D379" s="32" t="s">
        <v>392</v>
      </c>
      <c r="E379" s="15" t="s">
        <v>435</v>
      </c>
      <c r="F379" s="38">
        <v>28</v>
      </c>
      <c r="G379" s="43">
        <v>26.1</v>
      </c>
      <c r="H379" s="43">
        <f t="shared" si="5"/>
        <v>730.80000000000007</v>
      </c>
      <c r="I379" s="18"/>
    </row>
    <row r="380" spans="2:9" ht="50.1" customHeight="1" x14ac:dyDescent="0.25">
      <c r="B380" s="15">
        <v>372</v>
      </c>
      <c r="C380" s="35" t="s">
        <v>378</v>
      </c>
      <c r="D380" s="32" t="s">
        <v>392</v>
      </c>
      <c r="E380" s="15" t="s">
        <v>435</v>
      </c>
      <c r="F380" s="38">
        <v>37</v>
      </c>
      <c r="G380" s="43">
        <v>6.9</v>
      </c>
      <c r="H380" s="43">
        <f t="shared" si="5"/>
        <v>255.3</v>
      </c>
      <c r="I380" s="18"/>
    </row>
    <row r="381" spans="2:9" ht="50.1" customHeight="1" x14ac:dyDescent="0.25">
      <c r="B381" s="15">
        <v>373</v>
      </c>
      <c r="C381" s="35" t="s">
        <v>379</v>
      </c>
      <c r="D381" s="32" t="s">
        <v>392</v>
      </c>
      <c r="E381" s="15" t="s">
        <v>425</v>
      </c>
      <c r="F381" s="38">
        <v>20</v>
      </c>
      <c r="G381" s="41">
        <v>1</v>
      </c>
      <c r="H381" s="43">
        <f t="shared" si="5"/>
        <v>20</v>
      </c>
      <c r="I381" s="18"/>
    </row>
    <row r="382" spans="2:9" ht="50.1" customHeight="1" x14ac:dyDescent="0.25">
      <c r="B382" s="15">
        <v>374</v>
      </c>
      <c r="C382" s="35" t="s">
        <v>380</v>
      </c>
      <c r="D382" s="32" t="s">
        <v>392</v>
      </c>
      <c r="E382" s="15" t="s">
        <v>435</v>
      </c>
      <c r="F382" s="38">
        <v>8</v>
      </c>
      <c r="G382" s="43">
        <v>9.9</v>
      </c>
      <c r="H382" s="43">
        <f t="shared" si="5"/>
        <v>79.2</v>
      </c>
      <c r="I382" s="18"/>
    </row>
    <row r="383" spans="2:9" ht="50.1" customHeight="1" x14ac:dyDescent="0.25">
      <c r="B383" s="15">
        <v>375</v>
      </c>
      <c r="C383" s="35" t="s">
        <v>381</v>
      </c>
      <c r="D383" s="32" t="s">
        <v>392</v>
      </c>
      <c r="E383" s="15" t="s">
        <v>435</v>
      </c>
      <c r="F383" s="38">
        <v>4</v>
      </c>
      <c r="G383" s="43">
        <v>316</v>
      </c>
      <c r="H383" s="43">
        <f t="shared" si="5"/>
        <v>1264</v>
      </c>
      <c r="I383" s="18"/>
    </row>
    <row r="384" spans="2:9" ht="50.1" customHeight="1" x14ac:dyDescent="0.25">
      <c r="B384" s="15">
        <v>376</v>
      </c>
      <c r="C384" s="30" t="s">
        <v>382</v>
      </c>
      <c r="D384" s="32" t="s">
        <v>392</v>
      </c>
      <c r="E384" s="15" t="s">
        <v>435</v>
      </c>
      <c r="F384" s="38">
        <v>16</v>
      </c>
      <c r="G384" s="43">
        <v>5.2</v>
      </c>
      <c r="H384" s="43">
        <f t="shared" si="5"/>
        <v>83.2</v>
      </c>
      <c r="I384" s="18"/>
    </row>
    <row r="385" spans="2:9" ht="50.1" customHeight="1" x14ac:dyDescent="0.25">
      <c r="B385" s="15">
        <v>377</v>
      </c>
      <c r="C385" s="35" t="s">
        <v>383</v>
      </c>
      <c r="D385" s="32" t="s">
        <v>392</v>
      </c>
      <c r="E385" s="15" t="s">
        <v>435</v>
      </c>
      <c r="F385" s="38">
        <v>10</v>
      </c>
      <c r="G385" s="43">
        <v>135</v>
      </c>
      <c r="H385" s="43">
        <f t="shared" si="5"/>
        <v>1350</v>
      </c>
      <c r="I385" s="18"/>
    </row>
    <row r="386" spans="2:9" ht="50.1" customHeight="1" x14ac:dyDescent="0.25">
      <c r="B386" s="15">
        <v>378</v>
      </c>
      <c r="C386" s="35" t="s">
        <v>384</v>
      </c>
      <c r="D386" s="32" t="s">
        <v>392</v>
      </c>
      <c r="E386" s="15" t="s">
        <v>435</v>
      </c>
      <c r="F386" s="38">
        <v>8</v>
      </c>
      <c r="G386" s="43">
        <v>2.4</v>
      </c>
      <c r="H386" s="43">
        <f t="shared" si="5"/>
        <v>19.2</v>
      </c>
      <c r="I386" s="18"/>
    </row>
    <row r="387" spans="2:9" ht="50.1" customHeight="1" x14ac:dyDescent="0.25">
      <c r="B387" s="15">
        <v>379</v>
      </c>
      <c r="C387" s="35" t="s">
        <v>385</v>
      </c>
      <c r="D387" s="32" t="s">
        <v>392</v>
      </c>
      <c r="E387" s="15" t="s">
        <v>435</v>
      </c>
      <c r="F387" s="38">
        <v>31</v>
      </c>
      <c r="G387" s="43">
        <v>18</v>
      </c>
      <c r="H387" s="43">
        <f t="shared" si="5"/>
        <v>558</v>
      </c>
      <c r="I387" s="18"/>
    </row>
    <row r="388" spans="2:9" ht="50.1" customHeight="1" x14ac:dyDescent="0.25">
      <c r="B388" s="15">
        <v>380</v>
      </c>
      <c r="C388" s="13" t="s">
        <v>386</v>
      </c>
      <c r="D388" s="32" t="s">
        <v>392</v>
      </c>
      <c r="E388" s="15" t="s">
        <v>435</v>
      </c>
      <c r="F388" s="38">
        <v>22</v>
      </c>
      <c r="G388" s="29">
        <v>9.3000000000000007</v>
      </c>
      <c r="H388" s="43">
        <f t="shared" si="5"/>
        <v>204.60000000000002</v>
      </c>
      <c r="I388" s="18"/>
    </row>
    <row r="389" spans="2:9" ht="50.1" customHeight="1" x14ac:dyDescent="0.25">
      <c r="B389" s="15">
        <v>381</v>
      </c>
      <c r="C389" s="13" t="s">
        <v>387</v>
      </c>
      <c r="D389" s="32" t="s">
        <v>392</v>
      </c>
      <c r="E389" s="15" t="s">
        <v>403</v>
      </c>
      <c r="F389" s="38">
        <v>5</v>
      </c>
      <c r="G389" s="41">
        <v>1</v>
      </c>
      <c r="H389" s="43">
        <f t="shared" si="5"/>
        <v>5</v>
      </c>
      <c r="I389" s="18"/>
    </row>
    <row r="390" spans="2:9" ht="50.1" customHeight="1" x14ac:dyDescent="0.25">
      <c r="B390" s="15">
        <v>382</v>
      </c>
      <c r="C390" s="35" t="s">
        <v>388</v>
      </c>
      <c r="D390" s="32" t="s">
        <v>392</v>
      </c>
      <c r="E390" s="15" t="s">
        <v>416</v>
      </c>
      <c r="F390" s="38">
        <v>5</v>
      </c>
      <c r="G390" s="41">
        <v>1</v>
      </c>
      <c r="H390" s="43">
        <f t="shared" si="5"/>
        <v>5</v>
      </c>
      <c r="I390" s="18"/>
    </row>
    <row r="391" spans="2:9" ht="50.1" customHeight="1" x14ac:dyDescent="0.25">
      <c r="B391" s="15">
        <v>383</v>
      </c>
      <c r="C391" s="35" t="s">
        <v>389</v>
      </c>
      <c r="D391" s="32" t="s">
        <v>392</v>
      </c>
      <c r="E391" s="15" t="s">
        <v>403</v>
      </c>
      <c r="F391" s="38">
        <v>0</v>
      </c>
      <c r="G391" s="41">
        <v>1</v>
      </c>
      <c r="H391" s="43">
        <f t="shared" si="5"/>
        <v>0</v>
      </c>
      <c r="I391" s="18"/>
    </row>
    <row r="392" spans="2:9" ht="50.1" customHeight="1" x14ac:dyDescent="0.25">
      <c r="B392" s="15">
        <v>384</v>
      </c>
      <c r="C392" s="35" t="s">
        <v>390</v>
      </c>
      <c r="D392" s="32" t="s">
        <v>392</v>
      </c>
      <c r="E392" s="15" t="s">
        <v>434</v>
      </c>
      <c r="F392" s="38">
        <v>0</v>
      </c>
      <c r="G392" s="41">
        <v>1</v>
      </c>
      <c r="H392" s="43">
        <f t="shared" si="5"/>
        <v>0</v>
      </c>
      <c r="I392" s="18"/>
    </row>
    <row r="393" spans="2:9" ht="30" customHeight="1" thickBot="1" x14ac:dyDescent="0.3"/>
    <row r="394" spans="2:9" ht="30" customHeight="1" thickBot="1" x14ac:dyDescent="0.3">
      <c r="B394" s="1"/>
      <c r="C394" s="3" t="s">
        <v>206</v>
      </c>
      <c r="D394" s="9"/>
      <c r="E394" s="9"/>
      <c r="F394" s="4">
        <f>SUM(F9:F393)</f>
        <v>24092</v>
      </c>
      <c r="G394" s="4">
        <f>SUM(G9:G393)</f>
        <v>11854.850027722989</v>
      </c>
      <c r="H394" s="4">
        <f>SUM(H9:H393)</f>
        <v>245403.02733246784</v>
      </c>
      <c r="I394" s="2"/>
    </row>
    <row r="399" spans="2:9" x14ac:dyDescent="0.25">
      <c r="C399" t="s">
        <v>209</v>
      </c>
    </row>
  </sheetData>
  <autoFilter ref="B8:I392" xr:uid="{B8B219CD-2047-4CDF-8D0B-58A8836784AB}"/>
  <sortState xmlns:xlrd2="http://schemas.microsoft.com/office/spreadsheetml/2017/richdata2" ref="C9:I392">
    <sortCondition ref="C9:C392"/>
  </sortState>
  <mergeCells count="2">
    <mergeCell ref="B7:I7"/>
    <mergeCell ref="B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AL 18072025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2025-07-02T21:31:56Z</cp:lastPrinted>
  <dcterms:created xsi:type="dcterms:W3CDTF">2025-06-13T20:24:53Z</dcterms:created>
  <dcterms:modified xsi:type="dcterms:W3CDTF">2025-07-18T21:49:13Z</dcterms:modified>
</cp:coreProperties>
</file>